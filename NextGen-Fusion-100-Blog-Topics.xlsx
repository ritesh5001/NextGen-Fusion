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By category" sheetId="2" state="visible" r:id="rId4"/>
  </sheets>
  <definedNames>
    <definedName function="false" hidden="true" localSheetId="0" name="_xlnm._FilterDatabase" vbProcedure="false">Calendar!$A$4:$I$104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<sst xmlns="http://schemas.openxmlformats.org/spreadsheetml/2006/main" count="627" uniqueCount="338">
  <si>
    <t xml:space="preserve">NextGen Fusion — 100-day blog calendar</t>
  </si>
  <si>
    <t xml:space="preserve">Start date (edit):</t>
  </si>
  <si>
    <t xml:space="preserve">Yellow cell = change the start date and every publish date shifts. Edit Status as you go.</t>
  </si>
  <si>
    <t xml:space="preserve">Day</t>
  </si>
  <si>
    <t xml:space="preserve">Publish date</t>
  </si>
  <si>
    <t xml:space="preserve">Title</t>
  </si>
  <si>
    <t xml:space="preserve">Slug</t>
  </si>
  <si>
    <t xml:space="preserve">Category</t>
  </si>
  <si>
    <t xml:space="preserve">Primary keyword</t>
  </si>
  <si>
    <t xml:space="preserve">Service it leads to</t>
  </si>
  <si>
    <t xml:space="preserve">Read time (min)</t>
  </si>
  <si>
    <t xml:space="preserve">Status</t>
  </si>
  <si>
    <t xml:space="preserve">Why is my website not showing on Google? 10 checks before you panic</t>
  </si>
  <si>
    <t xml:space="preserve">/blog/website-not-showing-on-google</t>
  </si>
  <si>
    <t xml:space="preserve">SEO &amp; AI search</t>
  </si>
  <si>
    <t xml:space="preserve">website not showing on google</t>
  </si>
  <si>
    <t xml:space="preserve">SEO &amp; AI visibility</t>
  </si>
  <si>
    <t xml:space="preserve">Planned</t>
  </si>
  <si>
    <t xml:space="preserve">Why is my Shopify store getting visitors but no sales? A conversion audit you can run today</t>
  </si>
  <si>
    <t xml:space="preserve">/blog/shopify-visitors-no-sales</t>
  </si>
  <si>
    <t xml:space="preserve">Shopify &amp; e-commerce</t>
  </si>
  <si>
    <t xml:space="preserve">shopify visitors but no sales</t>
  </si>
  <si>
    <t xml:space="preserve">Shopify / e-commerce build &amp; CRO</t>
  </si>
  <si>
    <t xml:space="preserve">How much does a business website cost in 2026? What you actually pay for, from template to custom build</t>
  </si>
  <si>
    <t xml:space="preserve">/blog/website-cost-2026</t>
  </si>
  <si>
    <t xml:space="preserve">Cost &amp; planning</t>
  </si>
  <si>
    <t xml:space="preserve">website development cost 2026</t>
  </si>
  <si>
    <t xml:space="preserve">Website development</t>
  </si>
  <si>
    <t xml:space="preserve">Why is my website getting traffic but no enquiries? 9 reasons visitors leave without contacting you</t>
  </si>
  <si>
    <t xml:space="preserve">/blog/traffic-but-no-leads</t>
  </si>
  <si>
    <t xml:space="preserve">Website problems &amp; redesign</t>
  </si>
  <si>
    <t xml:space="preserve">website traffic but no leads</t>
  </si>
  <si>
    <t xml:space="preserve">Website redesign</t>
  </si>
  <si>
    <t xml:space="preserve">Does your business need an AI chatbot? What it can and can't do in 2026</t>
  </si>
  <si>
    <t xml:space="preserve">/blog/does-my-business-need-an-ai-chatbot</t>
  </si>
  <si>
    <t xml:space="preserve">AI &amp; automation</t>
  </si>
  <si>
    <t xml:space="preserve">ai chatbot for small business</t>
  </si>
  <si>
    <t xml:space="preserve">AI chatbots, agents &amp; automation</t>
  </si>
  <si>
    <t xml:space="preserve">Why is my WordPress site so slow? A step-by-step speed fix guide</t>
  </si>
  <si>
    <t xml:space="preserve">/blog/slow-wordpress-site</t>
  </si>
  <si>
    <t xml:space="preserve">WordPress &amp; WooCommerce</t>
  </si>
  <si>
    <t xml:space="preserve">wordpress site slow</t>
  </si>
  <si>
    <t xml:space="preserve">WordPress / WooCommerce</t>
  </si>
  <si>
    <t xml:space="preserve">What is UX design, and why does it affect revenue? Explained for business owners</t>
  </si>
  <si>
    <t xml:space="preserve">/blog/ux-design-for-business-owners</t>
  </si>
  <si>
    <t xml:space="preserve">UI/UX &amp; conversion</t>
  </si>
  <si>
    <t xml:space="preserve">what is ux design</t>
  </si>
  <si>
    <t xml:space="preserve">UI/UX design</t>
  </si>
  <si>
    <t xml:space="preserve">Off-the-shelf vs custom software: when building your own actually makes sense</t>
  </si>
  <si>
    <t xml:space="preserve">/blog/off-the-shelf-vs-custom-software</t>
  </si>
  <si>
    <t xml:space="preserve">Custom software &amp; SaaS</t>
  </si>
  <si>
    <t xml:space="preserve">custom software vs off the shelf</t>
  </si>
  <si>
    <t xml:space="preserve">Custom software / SaaS development</t>
  </si>
  <si>
    <t xml:space="preserve">Is my website secure? A 15-point security checklist for business websites</t>
  </si>
  <si>
    <t xml:space="preserve">/blog/website-security-checklist</t>
  </si>
  <si>
    <t xml:space="preserve">Security, speed &amp; maintenance</t>
  </si>
  <si>
    <t xml:space="preserve">website security checklist</t>
  </si>
  <si>
    <t xml:space="preserve">Maintenance, hosting &amp; security</t>
  </si>
  <si>
    <t xml:space="preserve">How to hire a web developer without getting burned: questions to ask first</t>
  </si>
  <si>
    <t xml:space="preserve">/blog/how-to-hire-a-web-developer</t>
  </si>
  <si>
    <t xml:space="preserve">Hiring a developer</t>
  </si>
  <si>
    <t xml:space="preserve">how to hire a web developer</t>
  </si>
  <si>
    <t xml:space="preserve">Agency / consultation</t>
  </si>
  <si>
    <t xml:space="preserve">Does your business need a mobile app, or will a website do?</t>
  </si>
  <si>
    <t xml:space="preserve">/blog/app-or-website</t>
  </si>
  <si>
    <t xml:space="preserve">Mobile apps</t>
  </si>
  <si>
    <t xml:space="preserve">do i need an app or website</t>
  </si>
  <si>
    <t xml:space="preserve">Mobile app development</t>
  </si>
  <si>
    <t xml:space="preserve">Google traffic dropped but rankings didn't: how AI Overviews are changing clicks in 2026</t>
  </si>
  <si>
    <t xml:space="preserve">/blog/ai-overviews-traffic-drop</t>
  </si>
  <si>
    <t xml:space="preserve">google traffic dropped ai overviews</t>
  </si>
  <si>
    <t xml:space="preserve">Shopify cart abandonment: the real reasons buyers leave at checkout and how to fix each one</t>
  </si>
  <si>
    <t xml:space="preserve">/blog/shopify-cart-abandonment</t>
  </si>
  <si>
    <t xml:space="preserve">shopify cart abandonment fix</t>
  </si>
  <si>
    <t xml:space="preserve">Why two agencies quoted wildly different prices for the same website</t>
  </si>
  <si>
    <t xml:space="preserve">/blog/why-website-quotes-differ</t>
  </si>
  <si>
    <t xml:space="preserve">website quote comparison</t>
  </si>
  <si>
    <t xml:space="preserve">My website looks outdated: signs it's costing you customers and when to redesign</t>
  </si>
  <si>
    <t xml:space="preserve">/blog/signs-you-need-website-redesign</t>
  </si>
  <si>
    <t xml:space="preserve">signs you need a website redesign</t>
  </si>
  <si>
    <t xml:space="preserve">AI chatbot vs AI agent: what's the difference and which one should you build?</t>
  </si>
  <si>
    <t xml:space="preserve">/blog/ai-chatbot-vs-ai-agent</t>
  </si>
  <si>
    <t xml:space="preserve">ai chatbot vs ai agent</t>
  </si>
  <si>
    <t xml:space="preserve">My WordPress site got hacked: how to clean it and stop it happening again</t>
  </si>
  <si>
    <t xml:space="preserve">/blog/wordpress-site-hacked</t>
  </si>
  <si>
    <t xml:space="preserve">wordpress site hacked</t>
  </si>
  <si>
    <t xml:space="preserve">Why visitors don't trust your website: 12 credibility signals that fix it</t>
  </si>
  <si>
    <t xml:space="preserve">/blog/website-trust-signals</t>
  </si>
  <si>
    <t xml:space="preserve">website trust signals</t>
  </si>
  <si>
    <t xml:space="preserve">How much does it cost to build a SaaS MVP in 2026?</t>
  </si>
  <si>
    <t xml:space="preserve">/blog/saas-mvp-cost-2026</t>
  </si>
  <si>
    <t xml:space="preserve">saas mvp development cost</t>
  </si>
  <si>
    <t xml:space="preserve">Why your website shows 'Not Secure', and how to fix SSL errors</t>
  </si>
  <si>
    <t xml:space="preserve">/blog/website-not-secure-ssl</t>
  </si>
  <si>
    <t xml:space="preserve">website not secure ssl fix</t>
  </si>
  <si>
    <t xml:space="preserve">Freelancer vs agency vs in-house developer: which is right for your project?</t>
  </si>
  <si>
    <t xml:space="preserve">/blog/freelancer-vs-agency-vs-in-house</t>
  </si>
  <si>
    <t xml:space="preserve">freelancer vs agency</t>
  </si>
  <si>
    <t xml:space="preserve">React Native vs Flutter vs native in 2026: choosing the right approach for your app</t>
  </si>
  <si>
    <t xml:space="preserve">/blog/react-native-vs-flutter-2026</t>
  </si>
  <si>
    <t xml:space="preserve">react native vs flutter 2026</t>
  </si>
  <si>
    <t xml:space="preserve">How to get your business mentioned in ChatGPT, Perplexity and Google AI answers</t>
  </si>
  <si>
    <t xml:space="preserve">/blog/get-cited-in-ai-answers</t>
  </si>
  <si>
    <t xml:space="preserve">get business mentioned in chatgpt</t>
  </si>
  <si>
    <t xml:space="preserve">What is a good Shopify conversion rate in 2026, and how to read your own funnel</t>
  </si>
  <si>
    <t xml:space="preserve">/blog/good-shopify-conversion-rate</t>
  </si>
  <si>
    <t xml:space="preserve">good shopify conversion rate</t>
  </si>
  <si>
    <t xml:space="preserve">What should a website development proposal include? A checklist before you sign</t>
  </si>
  <si>
    <t xml:space="preserve">/blog/website-proposal-checklist</t>
  </si>
  <si>
    <t xml:space="preserve">website proposal checklist</t>
  </si>
  <si>
    <t xml:space="preserve">Website redesign without losing Google rankings: the SEO-safe migration checklist</t>
  </si>
  <si>
    <t xml:space="preserve">/blog/redesign-without-losing-seo</t>
  </si>
  <si>
    <t xml:space="preserve">website redesign without losing seo</t>
  </si>
  <si>
    <t xml:space="preserve">How much does it cost to add AI to your website or app?</t>
  </si>
  <si>
    <t xml:space="preserve">/blog/cost-to-add-ai-to-website</t>
  </si>
  <si>
    <t xml:space="preserve">cost to add ai to website</t>
  </si>
  <si>
    <t xml:space="preserve">WooCommerce store slow with lots of products: database, hosting and caching fixes</t>
  </si>
  <si>
    <t xml:space="preserve">/blog/slow-woocommerce-store</t>
  </si>
  <si>
    <t xml:space="preserve">woocommerce slow</t>
  </si>
  <si>
    <t xml:space="preserve">Landing page vs homepage: why sending ad traffic to your homepage wastes money</t>
  </si>
  <si>
    <t xml:space="preserve">/blog/landing-page-vs-homepage</t>
  </si>
  <si>
    <t xml:space="preserve">landing page vs homepage</t>
  </si>
  <si>
    <t xml:space="preserve">Still running your business on Excel? Signs you've outgrown spreadsheets</t>
  </si>
  <si>
    <t xml:space="preserve">/blog/outgrown-excel-spreadsheets</t>
  </si>
  <si>
    <t xml:space="preserve">outgrown excel business software</t>
  </si>
  <si>
    <t xml:space="preserve">Website maintenance: what it includes and what it should cost each month</t>
  </si>
  <si>
    <t xml:space="preserve">/blog/website-maintenance-cost</t>
  </si>
  <si>
    <t xml:space="preserve">website maintenance cost</t>
  </si>
  <si>
    <t xml:space="preserve">Who should own your website's domain, code and hosting? Avoiding vendor lock-in</t>
  </si>
  <si>
    <t xml:space="preserve">/blog/who-owns-your-website</t>
  </si>
  <si>
    <t xml:space="preserve">who owns my website code</t>
  </si>
  <si>
    <t xml:space="preserve">How much does it cost to build a mobile app in 2026?</t>
  </si>
  <si>
    <t xml:space="preserve">/blog/mobile-app-cost-2026</t>
  </si>
  <si>
    <t xml:space="preserve">mobile app development cost 2026</t>
  </si>
  <si>
    <t xml:space="preserve">Pages 'Crawled – currently not indexed' in Search Console: what it means and how to fix it</t>
  </si>
  <si>
    <t xml:space="preserve">/blog/crawled-currently-not-indexed</t>
  </si>
  <si>
    <t xml:space="preserve">crawled currently not indexed fix</t>
  </si>
  <si>
    <t xml:space="preserve">Why is my Shopify store slow? The apps, themes and images dragging down speed</t>
  </si>
  <si>
    <t xml:space="preserve">/blog/slow-shopify-store</t>
  </si>
  <si>
    <t xml:space="preserve">shopify store slow</t>
  </si>
  <si>
    <t xml:space="preserve">Template vs custom website: which one does your business actually need?</t>
  </si>
  <si>
    <t xml:space="preserve">/blog/template-vs-custom-website</t>
  </si>
  <si>
    <t xml:space="preserve">template vs custom website</t>
  </si>
  <si>
    <t xml:space="preserve">Why does my website look broken on mobile? Common causes and fixes</t>
  </si>
  <si>
    <t xml:space="preserve">/blog/website-broken-on-mobile</t>
  </si>
  <si>
    <t xml:space="preserve">website broken on mobile</t>
  </si>
  <si>
    <t xml:space="preserve">WhatsApp automation for small businesses: auto-replies, order updates and lead capture</t>
  </si>
  <si>
    <t xml:space="preserve">/blog/whatsapp-automation-small-business</t>
  </si>
  <si>
    <t xml:space="preserve">whatsapp automation for business</t>
  </si>
  <si>
    <t xml:space="preserve">Too many WordPress plugins? Which ones to keep, replace or delete</t>
  </si>
  <si>
    <t xml:space="preserve">/blog/too-many-wordpress-plugins</t>
  </si>
  <si>
    <t xml:space="preserve">too many wordpress plugins</t>
  </si>
  <si>
    <t xml:space="preserve">Your hero section has 5 seconds: what the top of your homepage must say</t>
  </si>
  <si>
    <t xml:space="preserve">/blog/hero-section-first-5-seconds</t>
  </si>
  <si>
    <t xml:space="preserve">hero section best practices</t>
  </si>
  <si>
    <t xml:space="preserve">What is multi-tenant SaaS architecture? Explained for non-technical founders</t>
  </si>
  <si>
    <t xml:space="preserve">/blog/multi-tenant-saas-explained</t>
  </si>
  <si>
    <t xml:space="preserve">multi tenant saas architecture</t>
  </si>
  <si>
    <t xml:space="preserve">Shared vs VPS vs cloud hosting, explained for business owners</t>
  </si>
  <si>
    <t xml:space="preserve">/blog/shared-vs-vps-vs-cloud-hosting</t>
  </si>
  <si>
    <t xml:space="preserve">shared vs vps hosting</t>
  </si>
  <si>
    <t xml:space="preserve">Red flags in website development contracts and proposals</t>
  </si>
  <si>
    <t xml:space="preserve">/blog/website-contract-red-flags</t>
  </si>
  <si>
    <t xml:space="preserve">web development contract red flags</t>
  </si>
  <si>
    <t xml:space="preserve">Why apps get rejected by the App Store and Google Play, and how to avoid it</t>
  </si>
  <si>
    <t xml:space="preserve">/blog/app-store-rejection-reasons</t>
  </si>
  <si>
    <t xml:space="preserve">app store rejection reasons</t>
  </si>
  <si>
    <t xml:space="preserve">Local SEO for service businesses: how to rank in the Google map pack in your city</t>
  </si>
  <si>
    <t xml:space="preserve">/blog/local-seo-map-pack</t>
  </si>
  <si>
    <t xml:space="preserve">rank in google map pack</t>
  </si>
  <si>
    <t xml:space="preserve">Shopify theme redesign: when to switch themes and when to customise the one you have</t>
  </si>
  <si>
    <t xml:space="preserve">/blog/shopify-theme-redesign</t>
  </si>
  <si>
    <t xml:space="preserve">shopify theme redesign</t>
  </si>
  <si>
    <t xml:space="preserve">How long does it take to build a website? Realistic timelines by project size</t>
  </si>
  <si>
    <t xml:space="preserve">/blog/how-long-to-build-a-website</t>
  </si>
  <si>
    <t xml:space="preserve">how long to build a website</t>
  </si>
  <si>
    <t xml:space="preserve">My web developer disappeared: how to recover your website, domain and hosting access</t>
  </si>
  <si>
    <t xml:space="preserve">/blog/developer-disappeared-recover-website</t>
  </si>
  <si>
    <t xml:space="preserve">web developer disappeared</t>
  </si>
  <si>
    <t xml:space="preserve">10 repetitive business tasks you can automate with AI this month</t>
  </si>
  <si>
    <t xml:space="preserve">/blog/tasks-to-automate-with-ai</t>
  </si>
  <si>
    <t xml:space="preserve">business tasks to automate with ai</t>
  </si>
  <si>
    <t xml:space="preserve">WordPress 'critical error' and white screen of death: causes and how to recover</t>
  </si>
  <si>
    <t xml:space="preserve">/blog/wordpress-critical-error</t>
  </si>
  <si>
    <t xml:space="preserve">wordpress critical error fix</t>
  </si>
  <si>
    <t xml:space="preserve">Website navigation mistakes that make visitors leave, and how to simplify your menu</t>
  </si>
  <si>
    <t xml:space="preserve">/blog/website-navigation-mistakes</t>
  </si>
  <si>
    <t xml:space="preserve">website navigation mistakes</t>
  </si>
  <si>
    <t xml:space="preserve">Choosing a tech stack for your startup: Next.js, MERN or something else?</t>
  </si>
  <si>
    <t xml:space="preserve">/blog/choosing-a-startup-tech-stack</t>
  </si>
  <si>
    <t xml:space="preserve">best tech stack for startup</t>
  </si>
  <si>
    <t xml:space="preserve">How to make your website load in under 2 seconds</t>
  </si>
  <si>
    <t xml:space="preserve">/blog/website-load-under-2-seconds</t>
  </si>
  <si>
    <t xml:space="preserve">make website load faster</t>
  </si>
  <si>
    <t xml:space="preserve">Hiring an offshore development team in India: how to make it work across time zones</t>
  </si>
  <si>
    <t xml:space="preserve">/blog/hire-offshore-developers-india</t>
  </si>
  <si>
    <t xml:space="preserve">hire developers in india</t>
  </si>
  <si>
    <t xml:space="preserve">Progressive web apps (PWA): an app-like experience without the app store</t>
  </si>
  <si>
    <t xml:space="preserve">/blog/progressive-web-apps</t>
  </si>
  <si>
    <t xml:space="preserve">what is a progressive web app</t>
  </si>
  <si>
    <t xml:space="preserve">Next.js SEO checklist: metadata, sitemaps, schema and rendering mistakes that hurt rankings</t>
  </si>
  <si>
    <t xml:space="preserve">/blog/nextjs-seo-checklist</t>
  </si>
  <si>
    <t xml:space="preserve">next.js seo checklist</t>
  </si>
  <si>
    <t xml:space="preserve">Too many Shopify apps? How app bloat hurts speed, monthly costs and conversion</t>
  </si>
  <si>
    <t xml:space="preserve">/blog/shopify-app-bloat</t>
  </si>
  <si>
    <t xml:space="preserve">too many shopify apps</t>
  </si>
  <si>
    <t xml:space="preserve">Hidden website costs nobody tells you about: hosting, domains, plugins and renewals</t>
  </si>
  <si>
    <t xml:space="preserve">/blog/hidden-website-costs</t>
  </si>
  <si>
    <t xml:space="preserve">hidden website costs</t>
  </si>
  <si>
    <t xml:space="preserve">Why is my contact form not sending emails? Fixing lost leads on WordPress and custom sites</t>
  </si>
  <si>
    <t xml:space="preserve">/blog/contact-form-not-sending-emails</t>
  </si>
  <si>
    <t xml:space="preserve">contact form not sending emails</t>
  </si>
  <si>
    <t xml:space="preserve">Lead follow-up is leaking money: automating replies so no enquiry goes cold</t>
  </si>
  <si>
    <t xml:space="preserve">/blog/automate-lead-follow-up</t>
  </si>
  <si>
    <t xml:space="preserve">automate lead follow up</t>
  </si>
  <si>
    <t xml:space="preserve">Is WordPress still a good choice in 2026, or should you move to headless or Next.js?</t>
  </si>
  <si>
    <t xml:space="preserve">/blog/wordpress-vs-nextjs-2026</t>
  </si>
  <si>
    <t xml:space="preserve">wordpress vs next.js</t>
  </si>
  <si>
    <t xml:space="preserve">Mobile-first design: why a desktop-first website is losing you customers</t>
  </si>
  <si>
    <t xml:space="preserve">/blog/mobile-first-design</t>
  </si>
  <si>
    <t xml:space="preserve">mobile first design</t>
  </si>
  <si>
    <t xml:space="preserve">Why your web app slows down as users grow, and how to scale it</t>
  </si>
  <si>
    <t xml:space="preserve">/blog/web-app-slow-scaling</t>
  </si>
  <si>
    <t xml:space="preserve">web app slow scaling</t>
  </si>
  <si>
    <t xml:space="preserve">Website backups: how often, where to store them, and how to test a restore</t>
  </si>
  <si>
    <t xml:space="preserve">/blog/website-backup-strategy</t>
  </si>
  <si>
    <t xml:space="preserve">website backup strategy</t>
  </si>
  <si>
    <t xml:space="preserve">Fixed price vs hourly vs retainer: which web development pricing model protects you?</t>
  </si>
  <si>
    <t xml:space="preserve">/blog/fixed-price-vs-hourly-development</t>
  </si>
  <si>
    <t xml:space="preserve">fixed price vs hourly development</t>
  </si>
  <si>
    <t xml:space="preserve">Why users uninstall apps in the first week, and the onboarding fixes that keep them</t>
  </si>
  <si>
    <t xml:space="preserve">/blog/app-uninstall-onboarding</t>
  </si>
  <si>
    <t xml:space="preserve">why users uninstall apps</t>
  </si>
  <si>
    <t xml:space="preserve">Schema markup explained for business owners: which structured data actually matters</t>
  </si>
  <si>
    <t xml:space="preserve">/blog/schema-markup-for-business</t>
  </si>
  <si>
    <t xml:space="preserve">schema markup for small business</t>
  </si>
  <si>
    <t xml:space="preserve">Product page design that sells: layout, photos, reviews and copy that lift add-to-cart</t>
  </si>
  <si>
    <t xml:space="preserve">/blog/product-page-that-converts</t>
  </si>
  <si>
    <t xml:space="preserve">product page conversion</t>
  </si>
  <si>
    <t xml:space="preserve">Website development cost in India vs USA vs UK: when offshore development works, and when it doesn't</t>
  </si>
  <si>
    <t xml:space="preserve">/blog/website-cost-india-vs-usa-uk</t>
  </si>
  <si>
    <t xml:space="preserve">offshore website development cost</t>
  </si>
  <si>
    <t xml:space="preserve">Website down? What to do in the first hour, and how to stop it happening again</t>
  </si>
  <si>
    <t xml:space="preserve">/blog/website-down-what-to-do</t>
  </si>
  <si>
    <t xml:space="preserve">website down what to do</t>
  </si>
  <si>
    <t xml:space="preserve">Building an AI assistant trained on your own documents (RAG) without leaking your data</t>
  </si>
  <si>
    <t xml:space="preserve">/blog/ai-assistant-on-your-documents</t>
  </si>
  <si>
    <t xml:space="preserve">ai assistant trained on company documents</t>
  </si>
  <si>
    <t xml:space="preserve">Elementor slowing your site down? When page builders become a problem</t>
  </si>
  <si>
    <t xml:space="preserve">/blog/elementor-slow-site</t>
  </si>
  <si>
    <t xml:space="preserve">elementor slow</t>
  </si>
  <si>
    <t xml:space="preserve">Website accessibility (WCAG) for small businesses: what it is, the legal risk and quick fixes</t>
  </si>
  <si>
    <t xml:space="preserve">/blog/website-accessibility-wcag</t>
  </si>
  <si>
    <t xml:space="preserve">website accessibility wcag small business</t>
  </si>
  <si>
    <t xml:space="preserve">Building a custom CRM or ERP for your business: features, cost and timeline</t>
  </si>
  <si>
    <t xml:space="preserve">/blog/custom-crm-erp-development</t>
  </si>
  <si>
    <t xml:space="preserve">custom crm development cost</t>
  </si>
  <si>
    <t xml:space="preserve">Your emails land in spam: setting up SPF, DKIM and DMARC for your domain</t>
  </si>
  <si>
    <t xml:space="preserve">/blog/spf-dkim-dmarc-setup</t>
  </si>
  <si>
    <t xml:space="preserve">emails going to spam spf dkim dmarc</t>
  </si>
  <si>
    <t xml:space="preserve">Why software projects go over budget and deadline, and how to prevent it</t>
  </si>
  <si>
    <t xml:space="preserve">/blog/why-software-projects-go-over-budget</t>
  </si>
  <si>
    <t xml:space="preserve">software project over budget</t>
  </si>
  <si>
    <t xml:space="preserve">OTP login via SMS or WhatsApp: building secure, low-friction sign-in</t>
  </si>
  <si>
    <t xml:space="preserve">/blog/otp-login-sms-whatsapp</t>
  </si>
  <si>
    <t xml:space="preserve">whatsapp otp login</t>
  </si>
  <si>
    <t xml:space="preserve">Core Web Vitals in plain English: what LCP, INP and CLS mean and how to pass them</t>
  </si>
  <si>
    <t xml:space="preserve">/blog/core-web-vitals-explained</t>
  </si>
  <si>
    <t xml:space="preserve">core web vitals explained</t>
  </si>
  <si>
    <t xml:space="preserve">Setting up COD, UPI and international payments on an Indian e-commerce store</t>
  </si>
  <si>
    <t xml:space="preserve">/blog/cod-upi-international-payments-ecommerce</t>
  </si>
  <si>
    <t xml:space="preserve">cod upi payment ecommerce store</t>
  </si>
  <si>
    <t xml:space="preserve">How much does an e-commerce website cost? Shopify vs WooCommerce vs custom, compared</t>
  </si>
  <si>
    <t xml:space="preserve">/blog/ecommerce-website-cost</t>
  </si>
  <si>
    <t xml:space="preserve">ecommerce website cost</t>
  </si>
  <si>
    <t xml:space="preserve">Should you rebuild or fix your existing website? A decision framework</t>
  </si>
  <si>
    <t xml:space="preserve">/blog/rebuild-or-fix-website</t>
  </si>
  <si>
    <t xml:space="preserve">rebuild or redesign website</t>
  </si>
  <si>
    <t xml:space="preserve">Self-hosted AI vs ChatGPT API: cost, privacy and performance for businesses</t>
  </si>
  <si>
    <t xml:space="preserve">/blog/self-hosted-ai-vs-api</t>
  </si>
  <si>
    <t xml:space="preserve">self hosted llm vs openai api</t>
  </si>
  <si>
    <t xml:space="preserve">WooCommerce checkout not working: payment gateway, shipping and plugin conflicts</t>
  </si>
  <si>
    <t xml:space="preserve">/blog/woocommerce-checkout-not-working</t>
  </si>
  <si>
    <t xml:space="preserve">woocommerce checkout not working</t>
  </si>
  <si>
    <t xml:space="preserve">SaaS dashboard UI design: making complex data easy to read and act on</t>
  </si>
  <si>
    <t xml:space="preserve">/blog/saas-dashboard-ui-design</t>
  </si>
  <si>
    <t xml:space="preserve">saas dashboard ui design</t>
  </si>
  <si>
    <t xml:space="preserve">How to write a software requirements document developers can actually quote on</t>
  </si>
  <si>
    <t xml:space="preserve">/blog/software-requirements-document</t>
  </si>
  <si>
    <t xml:space="preserve">software requirements document template</t>
  </si>
  <si>
    <t xml:space="preserve">Google flagged your website for malware: how to clean it and remove the warning</t>
  </si>
  <si>
    <t xml:space="preserve">/blog/google-malware-warning</t>
  </si>
  <si>
    <t xml:space="preserve">google malware warning website</t>
  </si>
  <si>
    <t xml:space="preserve">How to choose a web development company in Lucknow (or any city): a buyer's checklist</t>
  </si>
  <si>
    <t xml:space="preserve">/blog/choose-web-development-company-lucknow</t>
  </si>
  <si>
    <t xml:space="preserve">best web development company in lucknow</t>
  </si>
  <si>
    <t xml:space="preserve">Turning your website into a mobile app: options, costs and pitfalls</t>
  </si>
  <si>
    <t xml:space="preserve">/blog/website-to-mobile-app</t>
  </si>
  <si>
    <t xml:space="preserve">convert website to app</t>
  </si>
  <si>
    <t xml:space="preserve">How long does SEO take to work for a new website? Realistic expectations month by month</t>
  </si>
  <si>
    <t xml:space="preserve">/blog/how-long-does-seo-take</t>
  </si>
  <si>
    <t xml:space="preserve">how long does seo take</t>
  </si>
  <si>
    <t xml:space="preserve">How to build a multi-vendor marketplace like Amazon or Etsy: features, cost and timeline</t>
  </si>
  <si>
    <t xml:space="preserve">/blog/build-multi-vendor-marketplace</t>
  </si>
  <si>
    <t xml:space="preserve">build multi vendor marketplace</t>
  </si>
  <si>
    <t xml:space="preserve">Do small businesses still need a website in 2026 if they have Instagram and WhatsApp?</t>
  </si>
  <si>
    <t xml:space="preserve">/blog/do-i-need-a-website-2026</t>
  </si>
  <si>
    <t xml:space="preserve">does small business need a website</t>
  </si>
  <si>
    <t xml:space="preserve">Moving from Wix or Squarespace to WordPress or Next.js: when it's worth it and how to migrate</t>
  </si>
  <si>
    <t xml:space="preserve">/blog/migrate-from-wix-squarespace</t>
  </si>
  <si>
    <t xml:space="preserve">migrate from wix to wordpress</t>
  </si>
  <si>
    <t xml:space="preserve">Why AI chatbots give wrong answers, and how to make yours reliable</t>
  </si>
  <si>
    <t xml:space="preserve">/blog/ai-chatbot-wrong-answers</t>
  </si>
  <si>
    <t xml:space="preserve">ai chatbot wrong answers hallucination</t>
  </si>
  <si>
    <t xml:space="preserve">Should you auto-update WordPress plugins? A safe update routine for business sites</t>
  </si>
  <si>
    <t xml:space="preserve">/blog/wordpress-update-routine</t>
  </si>
  <si>
    <t xml:space="preserve">update wordpress plugins safely</t>
  </si>
  <si>
    <t xml:space="preserve">Call-to-action buttons that get clicked: copy, colour and placement that work</t>
  </si>
  <si>
    <t xml:space="preserve">/blog/cta-buttons-that-convert</t>
  </si>
  <si>
    <t xml:space="preserve">call to action button best practices</t>
  </si>
  <si>
    <t xml:space="preserve">Payment gateway integration for web apps: Stripe, Razorpay and PayPal compared</t>
  </si>
  <si>
    <t xml:space="preserve">/blog/payment-gateway-integration</t>
  </si>
  <si>
    <t xml:space="preserve">stripe vs razorpay vs paypal</t>
  </si>
  <si>
    <t xml:space="preserve">Why your link previews look broken on WhatsApp and LinkedIn: fixing Open Graph tags</t>
  </si>
  <si>
    <t xml:space="preserve">/blog/fix-social-share-previews</t>
  </si>
  <si>
    <t xml:space="preserve">link preview not showing</t>
  </si>
  <si>
    <t xml:space="preserve">Why your blog gets impressions but no clicks, and how to write for AI-era search</t>
  </si>
  <si>
    <t xml:space="preserve">/blog/impressions-but-no-clicks</t>
  </si>
  <si>
    <t xml:space="preserve">impressions but no clicks search console</t>
  </si>
  <si>
    <t xml:space="preserve">Shopify vs WooCommerce in 2026: which is right for your store?</t>
  </si>
  <si>
    <t xml:space="preserve">/blog/shopify-vs-woocommerce-2026</t>
  </si>
  <si>
    <t xml:space="preserve">shopify vs woocommerce 2026</t>
  </si>
  <si>
    <t xml:space="preserve">Connecting your website, CRM and email with Make.com or n8n: a beginner's automation guide</t>
  </si>
  <si>
    <t xml:space="preserve">/blog/make-n8n-automation-guide</t>
  </si>
  <si>
    <t xml:space="preserve">make.com n8n automation guide</t>
  </si>
  <si>
    <t xml:space="preserve">Posts per category</t>
  </si>
  <si>
    <t xml:space="preserve">Posts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</si>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</sst>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 mmm\ yyyy"/>
    <numFmt numFmtId="166" formatCode="ddd\ d\ 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4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62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46304</v>
      </c>
      <c r="E2" s="4" t="s">
        <v>2</v>
      </c>
    </row>
    <row r="4" customFormat="false" ht="39.5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</row>
    <row r="5" customFormat="false" ht="15" hidden="false" customHeight="false" outlineLevel="0" collapsed="false">
      <c r="A5" s="6" t="n">
        <v>1</v>
      </c>
      <c r="B5" s="7" t="n">
        <f aca="false">$C$2+A5-1</f>
        <v>46304</v>
      </c>
      <c r="C5" s="8" t="s">
        <v>12</v>
      </c>
      <c r="D5" s="6" t="s">
        <v>13</v>
      </c>
      <c r="E5" s="6" t="s">
        <v>14</v>
      </c>
      <c r="F5" s="8" t="s">
        <v>15</v>
      </c>
      <c r="G5" s="8" t="s">
        <v>16</v>
      </c>
      <c r="H5" s="6" t="n">
        <v>6</v>
      </c>
      <c r="I5" s="6" t="s">
        <v>17</v>
      </c>
    </row>
    <row r="6" customFormat="false" ht="23.85" hidden="false" customHeight="false" outlineLevel="0" collapsed="false">
      <c r="A6" s="9" t="n">
        <v>2</v>
      </c>
      <c r="B6" s="10" t="n">
        <f aca="false">$C$2+A6-1</f>
        <v>46305</v>
      </c>
      <c r="C6" s="11" t="s">
        <v>18</v>
      </c>
      <c r="D6" s="9" t="s">
        <v>19</v>
      </c>
      <c r="E6" s="9" t="s">
        <v>20</v>
      </c>
      <c r="F6" s="11" t="s">
        <v>21</v>
      </c>
      <c r="G6" s="11" t="s">
        <v>22</v>
      </c>
      <c r="H6" s="9" t="n">
        <v>6</v>
      </c>
      <c r="I6" s="9" t="s">
        <v>17</v>
      </c>
    </row>
    <row r="7" customFormat="false" ht="23.85" hidden="false" customHeight="false" outlineLevel="0" collapsed="false">
      <c r="A7" s="6" t="n">
        <v>3</v>
      </c>
      <c r="B7" s="7" t="n">
        <f aca="false">$C$2+A7-1</f>
        <v>46306</v>
      </c>
      <c r="C7" s="8" t="s">
        <v>23</v>
      </c>
      <c r="D7" s="6" t="s">
        <v>24</v>
      </c>
      <c r="E7" s="6" t="s">
        <v>25</v>
      </c>
      <c r="F7" s="8" t="s">
        <v>26</v>
      </c>
      <c r="G7" s="8" t="s">
        <v>27</v>
      </c>
      <c r="H7" s="6" t="n">
        <v>6</v>
      </c>
      <c r="I7" s="6" t="s">
        <v>17</v>
      </c>
    </row>
    <row r="8" customFormat="false" ht="23.85" hidden="false" customHeight="false" outlineLevel="0" collapsed="false">
      <c r="A8" s="9" t="n">
        <v>4</v>
      </c>
      <c r="B8" s="10" t="n">
        <f aca="false">$C$2+A8-1</f>
        <v>46307</v>
      </c>
      <c r="C8" s="11" t="s">
        <v>28</v>
      </c>
      <c r="D8" s="9" t="s">
        <v>29</v>
      </c>
      <c r="E8" s="9" t="s">
        <v>30</v>
      </c>
      <c r="F8" s="11" t="s">
        <v>31</v>
      </c>
      <c r="G8" s="11" t="s">
        <v>32</v>
      </c>
      <c r="H8" s="9" t="n">
        <v>6</v>
      </c>
      <c r="I8" s="9" t="s">
        <v>17</v>
      </c>
    </row>
    <row r="9" customFormat="false" ht="15" hidden="false" customHeight="false" outlineLevel="0" collapsed="false">
      <c r="A9" s="6" t="n">
        <v>5</v>
      </c>
      <c r="B9" s="7" t="n">
        <f aca="false">$C$2+A9-1</f>
        <v>46308</v>
      </c>
      <c r="C9" s="8" t="s">
        <v>33</v>
      </c>
      <c r="D9" s="6" t="s">
        <v>34</v>
      </c>
      <c r="E9" s="6" t="s">
        <v>35</v>
      </c>
      <c r="F9" s="8" t="s">
        <v>36</v>
      </c>
      <c r="G9" s="8" t="s">
        <v>37</v>
      </c>
      <c r="H9" s="6" t="n">
        <v>5</v>
      </c>
      <c r="I9" s="6" t="s">
        <v>17</v>
      </c>
    </row>
    <row r="10" customFormat="false" ht="15" hidden="false" customHeight="false" outlineLevel="0" collapsed="false">
      <c r="A10" s="9" t="n">
        <v>6</v>
      </c>
      <c r="B10" s="10" t="n">
        <f aca="false">$C$2+A10-1</f>
        <v>46309</v>
      </c>
      <c r="C10" s="11" t="s">
        <v>38</v>
      </c>
      <c r="D10" s="9" t="s">
        <v>39</v>
      </c>
      <c r="E10" s="9" t="s">
        <v>40</v>
      </c>
      <c r="F10" s="11" t="s">
        <v>41</v>
      </c>
      <c r="G10" s="11" t="s">
        <v>42</v>
      </c>
      <c r="H10" s="9" t="n">
        <v>6</v>
      </c>
      <c r="I10" s="9" t="s">
        <v>17</v>
      </c>
    </row>
    <row r="11" customFormat="false" ht="23.85" hidden="false" customHeight="false" outlineLevel="0" collapsed="false">
      <c r="A11" s="6" t="n">
        <v>7</v>
      </c>
      <c r="B11" s="7" t="n">
        <f aca="false">$C$2+A11-1</f>
        <v>46310</v>
      </c>
      <c r="C11" s="8" t="s">
        <v>43</v>
      </c>
      <c r="D11" s="6" t="s">
        <v>44</v>
      </c>
      <c r="E11" s="6" t="s">
        <v>45</v>
      </c>
      <c r="F11" s="8" t="s">
        <v>46</v>
      </c>
      <c r="G11" s="8" t="s">
        <v>47</v>
      </c>
      <c r="H11" s="6" t="n">
        <v>5</v>
      </c>
      <c r="I11" s="6" t="s">
        <v>17</v>
      </c>
    </row>
    <row r="12" customFormat="false" ht="23.85" hidden="false" customHeight="false" outlineLevel="0" collapsed="false">
      <c r="A12" s="9" t="n">
        <v>8</v>
      </c>
      <c r="B12" s="10" t="n">
        <f aca="false">$C$2+A12-1</f>
        <v>46311</v>
      </c>
      <c r="C12" s="11" t="s">
        <v>48</v>
      </c>
      <c r="D12" s="9" t="s">
        <v>49</v>
      </c>
      <c r="E12" s="9" t="s">
        <v>50</v>
      </c>
      <c r="F12" s="11" t="s">
        <v>51</v>
      </c>
      <c r="G12" s="11" t="s">
        <v>52</v>
      </c>
      <c r="H12" s="9" t="n">
        <v>5</v>
      </c>
      <c r="I12" s="9" t="s">
        <v>17</v>
      </c>
    </row>
    <row r="13" customFormat="false" ht="15" hidden="false" customHeight="false" outlineLevel="0" collapsed="false">
      <c r="A13" s="6" t="n">
        <v>9</v>
      </c>
      <c r="B13" s="7" t="n">
        <f aca="false">$C$2+A13-1</f>
        <v>46312</v>
      </c>
      <c r="C13" s="8" t="s">
        <v>53</v>
      </c>
      <c r="D13" s="6" t="s">
        <v>54</v>
      </c>
      <c r="E13" s="6" t="s">
        <v>55</v>
      </c>
      <c r="F13" s="8" t="s">
        <v>56</v>
      </c>
      <c r="G13" s="8" t="s">
        <v>57</v>
      </c>
      <c r="H13" s="6" t="n">
        <v>5</v>
      </c>
      <c r="I13" s="6" t="s">
        <v>17</v>
      </c>
    </row>
    <row r="14" customFormat="false" ht="15" hidden="false" customHeight="false" outlineLevel="0" collapsed="false">
      <c r="A14" s="9" t="n">
        <v>10</v>
      </c>
      <c r="B14" s="10" t="n">
        <f aca="false">$C$2+A14-1</f>
        <v>46313</v>
      </c>
      <c r="C14" s="11" t="s">
        <v>58</v>
      </c>
      <c r="D14" s="9" t="s">
        <v>59</v>
      </c>
      <c r="E14" s="9" t="s">
        <v>60</v>
      </c>
      <c r="F14" s="11" t="s">
        <v>61</v>
      </c>
      <c r="G14" s="11" t="s">
        <v>62</v>
      </c>
      <c r="H14" s="9" t="n">
        <v>5</v>
      </c>
      <c r="I14" s="9" t="s">
        <v>17</v>
      </c>
    </row>
    <row r="15" customFormat="false" ht="15" hidden="false" customHeight="false" outlineLevel="0" collapsed="false">
      <c r="A15" s="6" t="n">
        <v>11</v>
      </c>
      <c r="B15" s="7" t="n">
        <f aca="false">$C$2+A15-1</f>
        <v>46314</v>
      </c>
      <c r="C15" s="8" t="s">
        <v>63</v>
      </c>
      <c r="D15" s="6" t="s">
        <v>64</v>
      </c>
      <c r="E15" s="6" t="s">
        <v>65</v>
      </c>
      <c r="F15" s="8" t="s">
        <v>66</v>
      </c>
      <c r="G15" s="8" t="s">
        <v>67</v>
      </c>
      <c r="H15" s="6" t="n">
        <v>5</v>
      </c>
      <c r="I15" s="6" t="s">
        <v>17</v>
      </c>
    </row>
    <row r="16" customFormat="false" ht="23.85" hidden="false" customHeight="false" outlineLevel="0" collapsed="false">
      <c r="A16" s="9" t="n">
        <v>12</v>
      </c>
      <c r="B16" s="10" t="n">
        <f aca="false">$C$2+A16-1</f>
        <v>46315</v>
      </c>
      <c r="C16" s="11" t="s">
        <v>68</v>
      </c>
      <c r="D16" s="9" t="s">
        <v>69</v>
      </c>
      <c r="E16" s="9" t="s">
        <v>14</v>
      </c>
      <c r="F16" s="11" t="s">
        <v>70</v>
      </c>
      <c r="G16" s="11" t="s">
        <v>16</v>
      </c>
      <c r="H16" s="9" t="n">
        <v>6</v>
      </c>
      <c r="I16" s="9" t="s">
        <v>17</v>
      </c>
    </row>
    <row r="17" customFormat="false" ht="23.85" hidden="false" customHeight="false" outlineLevel="0" collapsed="false">
      <c r="A17" s="6" t="n">
        <v>13</v>
      </c>
      <c r="B17" s="7" t="n">
        <f aca="false">$C$2+A17-1</f>
        <v>46316</v>
      </c>
      <c r="C17" s="8" t="s">
        <v>71</v>
      </c>
      <c r="D17" s="6" t="s">
        <v>72</v>
      </c>
      <c r="E17" s="6" t="s">
        <v>20</v>
      </c>
      <c r="F17" s="8" t="s">
        <v>73</v>
      </c>
      <c r="G17" s="8" t="s">
        <v>22</v>
      </c>
      <c r="H17" s="6" t="n">
        <v>5</v>
      </c>
      <c r="I17" s="6" t="s">
        <v>17</v>
      </c>
    </row>
    <row r="18" customFormat="false" ht="15" hidden="false" customHeight="false" outlineLevel="0" collapsed="false">
      <c r="A18" s="9" t="n">
        <v>14</v>
      </c>
      <c r="B18" s="10" t="n">
        <f aca="false">$C$2+A18-1</f>
        <v>46317</v>
      </c>
      <c r="C18" s="11" t="s">
        <v>74</v>
      </c>
      <c r="D18" s="9" t="s">
        <v>75</v>
      </c>
      <c r="E18" s="9" t="s">
        <v>25</v>
      </c>
      <c r="F18" s="11" t="s">
        <v>76</v>
      </c>
      <c r="G18" s="11" t="s">
        <v>27</v>
      </c>
      <c r="H18" s="9" t="n">
        <v>5</v>
      </c>
      <c r="I18" s="9" t="s">
        <v>17</v>
      </c>
    </row>
    <row r="19" customFormat="false" ht="23.85" hidden="false" customHeight="false" outlineLevel="0" collapsed="false">
      <c r="A19" s="6" t="n">
        <v>15</v>
      </c>
      <c r="B19" s="7" t="n">
        <f aca="false">$C$2+A19-1</f>
        <v>46318</v>
      </c>
      <c r="C19" s="8" t="s">
        <v>77</v>
      </c>
      <c r="D19" s="6" t="s">
        <v>78</v>
      </c>
      <c r="E19" s="6" t="s">
        <v>30</v>
      </c>
      <c r="F19" s="8" t="s">
        <v>79</v>
      </c>
      <c r="G19" s="8" t="s">
        <v>32</v>
      </c>
      <c r="H19" s="6" t="n">
        <v>5</v>
      </c>
      <c r="I19" s="6" t="s">
        <v>17</v>
      </c>
    </row>
    <row r="20" customFormat="false" ht="23.85" hidden="false" customHeight="false" outlineLevel="0" collapsed="false">
      <c r="A20" s="9" t="n">
        <v>16</v>
      </c>
      <c r="B20" s="10" t="n">
        <f aca="false">$C$2+A20-1</f>
        <v>46319</v>
      </c>
      <c r="C20" s="11" t="s">
        <v>80</v>
      </c>
      <c r="D20" s="9" t="s">
        <v>81</v>
      </c>
      <c r="E20" s="9" t="s">
        <v>35</v>
      </c>
      <c r="F20" s="11" t="s">
        <v>82</v>
      </c>
      <c r="G20" s="11" t="s">
        <v>37</v>
      </c>
      <c r="H20" s="9" t="n">
        <v>5</v>
      </c>
      <c r="I20" s="9" t="s">
        <v>17</v>
      </c>
    </row>
    <row r="21" customFormat="false" ht="15" hidden="false" customHeight="false" outlineLevel="0" collapsed="false">
      <c r="A21" s="6" t="n">
        <v>17</v>
      </c>
      <c r="B21" s="7" t="n">
        <f aca="false">$C$2+A21-1</f>
        <v>46320</v>
      </c>
      <c r="C21" s="8" t="s">
        <v>83</v>
      </c>
      <c r="D21" s="6" t="s">
        <v>84</v>
      </c>
      <c r="E21" s="6" t="s">
        <v>40</v>
      </c>
      <c r="F21" s="8" t="s">
        <v>85</v>
      </c>
      <c r="G21" s="8" t="s">
        <v>42</v>
      </c>
      <c r="H21" s="6" t="n">
        <v>6</v>
      </c>
      <c r="I21" s="6" t="s">
        <v>17</v>
      </c>
    </row>
    <row r="22" customFormat="false" ht="15" hidden="false" customHeight="false" outlineLevel="0" collapsed="false">
      <c r="A22" s="9" t="n">
        <v>18</v>
      </c>
      <c r="B22" s="10" t="n">
        <f aca="false">$C$2+A22-1</f>
        <v>46321</v>
      </c>
      <c r="C22" s="11" t="s">
        <v>86</v>
      </c>
      <c r="D22" s="9" t="s">
        <v>87</v>
      </c>
      <c r="E22" s="9" t="s">
        <v>45</v>
      </c>
      <c r="F22" s="11" t="s">
        <v>88</v>
      </c>
      <c r="G22" s="11" t="s">
        <v>47</v>
      </c>
      <c r="H22" s="9" t="n">
        <v>5</v>
      </c>
      <c r="I22" s="9" t="s">
        <v>17</v>
      </c>
    </row>
    <row r="23" customFormat="false" ht="23.85" hidden="false" customHeight="false" outlineLevel="0" collapsed="false">
      <c r="A23" s="6" t="n">
        <v>19</v>
      </c>
      <c r="B23" s="7" t="n">
        <f aca="false">$C$2+A23-1</f>
        <v>46322</v>
      </c>
      <c r="C23" s="8" t="s">
        <v>89</v>
      </c>
      <c r="D23" s="6" t="s">
        <v>90</v>
      </c>
      <c r="E23" s="6" t="s">
        <v>50</v>
      </c>
      <c r="F23" s="8" t="s">
        <v>91</v>
      </c>
      <c r="G23" s="8" t="s">
        <v>52</v>
      </c>
      <c r="H23" s="6" t="n">
        <v>6</v>
      </c>
      <c r="I23" s="6" t="s">
        <v>17</v>
      </c>
    </row>
    <row r="24" customFormat="false" ht="15" hidden="false" customHeight="false" outlineLevel="0" collapsed="false">
      <c r="A24" s="9" t="n">
        <v>20</v>
      </c>
      <c r="B24" s="10" t="n">
        <f aca="false">$C$2+A24-1</f>
        <v>46323</v>
      </c>
      <c r="C24" s="11" t="s">
        <v>92</v>
      </c>
      <c r="D24" s="9" t="s">
        <v>93</v>
      </c>
      <c r="E24" s="9" t="s">
        <v>55</v>
      </c>
      <c r="F24" s="11" t="s">
        <v>94</v>
      </c>
      <c r="G24" s="11" t="s">
        <v>57</v>
      </c>
      <c r="H24" s="9" t="n">
        <v>4</v>
      </c>
      <c r="I24" s="9" t="s">
        <v>17</v>
      </c>
    </row>
    <row r="25" customFormat="false" ht="15" hidden="false" customHeight="false" outlineLevel="0" collapsed="false">
      <c r="A25" s="6" t="n">
        <v>21</v>
      </c>
      <c r="B25" s="7" t="n">
        <f aca="false">$C$2+A25-1</f>
        <v>46324</v>
      </c>
      <c r="C25" s="8" t="s">
        <v>95</v>
      </c>
      <c r="D25" s="6" t="s">
        <v>96</v>
      </c>
      <c r="E25" s="6" t="s">
        <v>60</v>
      </c>
      <c r="F25" s="8" t="s">
        <v>97</v>
      </c>
      <c r="G25" s="8" t="s">
        <v>62</v>
      </c>
      <c r="H25" s="6" t="n">
        <v>5</v>
      </c>
      <c r="I25" s="6" t="s">
        <v>17</v>
      </c>
    </row>
    <row r="26" customFormat="false" ht="23.85" hidden="false" customHeight="false" outlineLevel="0" collapsed="false">
      <c r="A26" s="9" t="n">
        <v>22</v>
      </c>
      <c r="B26" s="10" t="n">
        <f aca="false">$C$2+A26-1</f>
        <v>46325</v>
      </c>
      <c r="C26" s="11" t="s">
        <v>98</v>
      </c>
      <c r="D26" s="9" t="s">
        <v>99</v>
      </c>
      <c r="E26" s="9" t="s">
        <v>65</v>
      </c>
      <c r="F26" s="11" t="s">
        <v>100</v>
      </c>
      <c r="G26" s="11" t="s">
        <v>67</v>
      </c>
      <c r="H26" s="9" t="n">
        <v>6</v>
      </c>
      <c r="I26" s="9" t="s">
        <v>17</v>
      </c>
    </row>
    <row r="27" customFormat="false" ht="23.85" hidden="false" customHeight="false" outlineLevel="0" collapsed="false">
      <c r="A27" s="6" t="n">
        <v>23</v>
      </c>
      <c r="B27" s="7" t="n">
        <f aca="false">$C$2+A27-1</f>
        <v>46326</v>
      </c>
      <c r="C27" s="8" t="s">
        <v>101</v>
      </c>
      <c r="D27" s="6" t="s">
        <v>102</v>
      </c>
      <c r="E27" s="6" t="s">
        <v>14</v>
      </c>
      <c r="F27" s="8" t="s">
        <v>103</v>
      </c>
      <c r="G27" s="8" t="s">
        <v>16</v>
      </c>
      <c r="H27" s="6" t="n">
        <v>6</v>
      </c>
      <c r="I27" s="6" t="s">
        <v>17</v>
      </c>
    </row>
    <row r="28" customFormat="false" ht="23.85" hidden="false" customHeight="false" outlineLevel="0" collapsed="false">
      <c r="A28" s="9" t="n">
        <v>24</v>
      </c>
      <c r="B28" s="10" t="n">
        <f aca="false">$C$2+A28-1</f>
        <v>46327</v>
      </c>
      <c r="C28" s="11" t="s">
        <v>104</v>
      </c>
      <c r="D28" s="9" t="s">
        <v>105</v>
      </c>
      <c r="E28" s="9" t="s">
        <v>20</v>
      </c>
      <c r="F28" s="11" t="s">
        <v>106</v>
      </c>
      <c r="G28" s="11" t="s">
        <v>22</v>
      </c>
      <c r="H28" s="9" t="n">
        <v>5</v>
      </c>
      <c r="I28" s="9" t="s">
        <v>17</v>
      </c>
    </row>
    <row r="29" customFormat="false" ht="23.85" hidden="false" customHeight="false" outlineLevel="0" collapsed="false">
      <c r="A29" s="6" t="n">
        <v>25</v>
      </c>
      <c r="B29" s="7" t="n">
        <f aca="false">$C$2+A29-1</f>
        <v>46328</v>
      </c>
      <c r="C29" s="8" t="s">
        <v>107</v>
      </c>
      <c r="D29" s="6" t="s">
        <v>108</v>
      </c>
      <c r="E29" s="6" t="s">
        <v>25</v>
      </c>
      <c r="F29" s="8" t="s">
        <v>109</v>
      </c>
      <c r="G29" s="8" t="s">
        <v>27</v>
      </c>
      <c r="H29" s="6" t="n">
        <v>5</v>
      </c>
      <c r="I29" s="6" t="s">
        <v>17</v>
      </c>
    </row>
    <row r="30" customFormat="false" ht="23.85" hidden="false" customHeight="false" outlineLevel="0" collapsed="false">
      <c r="A30" s="9" t="n">
        <v>26</v>
      </c>
      <c r="B30" s="10" t="n">
        <f aca="false">$C$2+A30-1</f>
        <v>46329</v>
      </c>
      <c r="C30" s="11" t="s">
        <v>110</v>
      </c>
      <c r="D30" s="9" t="s">
        <v>111</v>
      </c>
      <c r="E30" s="9" t="s">
        <v>30</v>
      </c>
      <c r="F30" s="11" t="s">
        <v>112</v>
      </c>
      <c r="G30" s="11" t="s">
        <v>32</v>
      </c>
      <c r="H30" s="9" t="n">
        <v>6</v>
      </c>
      <c r="I30" s="9" t="s">
        <v>17</v>
      </c>
    </row>
    <row r="31" customFormat="false" ht="15" hidden="false" customHeight="false" outlineLevel="0" collapsed="false">
      <c r="A31" s="6" t="n">
        <v>27</v>
      </c>
      <c r="B31" s="7" t="n">
        <f aca="false">$C$2+A31-1</f>
        <v>46330</v>
      </c>
      <c r="C31" s="8" t="s">
        <v>113</v>
      </c>
      <c r="D31" s="6" t="s">
        <v>114</v>
      </c>
      <c r="E31" s="6" t="s">
        <v>35</v>
      </c>
      <c r="F31" s="8" t="s">
        <v>115</v>
      </c>
      <c r="G31" s="8" t="s">
        <v>37</v>
      </c>
      <c r="H31" s="6" t="n">
        <v>5</v>
      </c>
      <c r="I31" s="6" t="s">
        <v>17</v>
      </c>
    </row>
    <row r="32" customFormat="false" ht="23.85" hidden="false" customHeight="false" outlineLevel="0" collapsed="false">
      <c r="A32" s="9" t="n">
        <v>28</v>
      </c>
      <c r="B32" s="10" t="n">
        <f aca="false">$C$2+A32-1</f>
        <v>46331</v>
      </c>
      <c r="C32" s="11" t="s">
        <v>116</v>
      </c>
      <c r="D32" s="9" t="s">
        <v>117</v>
      </c>
      <c r="E32" s="9" t="s">
        <v>40</v>
      </c>
      <c r="F32" s="11" t="s">
        <v>118</v>
      </c>
      <c r="G32" s="11" t="s">
        <v>42</v>
      </c>
      <c r="H32" s="9" t="n">
        <v>5</v>
      </c>
      <c r="I32" s="9" t="s">
        <v>17</v>
      </c>
    </row>
    <row r="33" customFormat="false" ht="23.85" hidden="false" customHeight="false" outlineLevel="0" collapsed="false">
      <c r="A33" s="6" t="n">
        <v>29</v>
      </c>
      <c r="B33" s="7" t="n">
        <f aca="false">$C$2+A33-1</f>
        <v>46332</v>
      </c>
      <c r="C33" s="8" t="s">
        <v>119</v>
      </c>
      <c r="D33" s="6" t="s">
        <v>120</v>
      </c>
      <c r="E33" s="6" t="s">
        <v>45</v>
      </c>
      <c r="F33" s="8" t="s">
        <v>121</v>
      </c>
      <c r="G33" s="8" t="s">
        <v>47</v>
      </c>
      <c r="H33" s="6" t="n">
        <v>4</v>
      </c>
      <c r="I33" s="6" t="s">
        <v>17</v>
      </c>
    </row>
    <row r="34" customFormat="false" ht="23.85" hidden="false" customHeight="false" outlineLevel="0" collapsed="false">
      <c r="A34" s="9" t="n">
        <v>30</v>
      </c>
      <c r="B34" s="10" t="n">
        <f aca="false">$C$2+A34-1</f>
        <v>46333</v>
      </c>
      <c r="C34" s="11" t="s">
        <v>122</v>
      </c>
      <c r="D34" s="9" t="s">
        <v>123</v>
      </c>
      <c r="E34" s="9" t="s">
        <v>50</v>
      </c>
      <c r="F34" s="11" t="s">
        <v>124</v>
      </c>
      <c r="G34" s="11" t="s">
        <v>52</v>
      </c>
      <c r="H34" s="9" t="n">
        <v>4</v>
      </c>
      <c r="I34" s="9" t="s">
        <v>17</v>
      </c>
    </row>
    <row r="35" customFormat="false" ht="15" hidden="false" customHeight="false" outlineLevel="0" collapsed="false">
      <c r="A35" s="6" t="n">
        <v>31</v>
      </c>
      <c r="B35" s="7" t="n">
        <f aca="false">$C$2+A35-1</f>
        <v>46334</v>
      </c>
      <c r="C35" s="8" t="s">
        <v>125</v>
      </c>
      <c r="D35" s="6" t="s">
        <v>126</v>
      </c>
      <c r="E35" s="6" t="s">
        <v>55</v>
      </c>
      <c r="F35" s="8" t="s">
        <v>127</v>
      </c>
      <c r="G35" s="8" t="s">
        <v>57</v>
      </c>
      <c r="H35" s="6" t="n">
        <v>5</v>
      </c>
      <c r="I35" s="6" t="s">
        <v>17</v>
      </c>
    </row>
    <row r="36" customFormat="false" ht="23.85" hidden="false" customHeight="false" outlineLevel="0" collapsed="false">
      <c r="A36" s="9" t="n">
        <v>32</v>
      </c>
      <c r="B36" s="10" t="n">
        <f aca="false">$C$2+A36-1</f>
        <v>46335</v>
      </c>
      <c r="C36" s="11" t="s">
        <v>128</v>
      </c>
      <c r="D36" s="9" t="s">
        <v>129</v>
      </c>
      <c r="E36" s="9" t="s">
        <v>60</v>
      </c>
      <c r="F36" s="11" t="s">
        <v>130</v>
      </c>
      <c r="G36" s="11" t="s">
        <v>62</v>
      </c>
      <c r="H36" s="9" t="n">
        <v>4</v>
      </c>
      <c r="I36" s="9" t="s">
        <v>17</v>
      </c>
    </row>
    <row r="37" customFormat="false" ht="15" hidden="false" customHeight="false" outlineLevel="0" collapsed="false">
      <c r="A37" s="6" t="n">
        <v>33</v>
      </c>
      <c r="B37" s="7" t="n">
        <f aca="false">$C$2+A37-1</f>
        <v>46336</v>
      </c>
      <c r="C37" s="8" t="s">
        <v>131</v>
      </c>
      <c r="D37" s="6" t="s">
        <v>132</v>
      </c>
      <c r="E37" s="6" t="s">
        <v>65</v>
      </c>
      <c r="F37" s="8" t="s">
        <v>133</v>
      </c>
      <c r="G37" s="8" t="s">
        <v>67</v>
      </c>
      <c r="H37" s="6" t="n">
        <v>6</v>
      </c>
      <c r="I37" s="6" t="s">
        <v>17</v>
      </c>
    </row>
    <row r="38" customFormat="false" ht="23.85" hidden="false" customHeight="false" outlineLevel="0" collapsed="false">
      <c r="A38" s="9" t="n">
        <v>34</v>
      </c>
      <c r="B38" s="10" t="n">
        <f aca="false">$C$2+A38-1</f>
        <v>46337</v>
      </c>
      <c r="C38" s="11" t="s">
        <v>134</v>
      </c>
      <c r="D38" s="9" t="s">
        <v>135</v>
      </c>
      <c r="E38" s="9" t="s">
        <v>14</v>
      </c>
      <c r="F38" s="11" t="s">
        <v>136</v>
      </c>
      <c r="G38" s="11" t="s">
        <v>16</v>
      </c>
      <c r="H38" s="9" t="n">
        <v>5</v>
      </c>
      <c r="I38" s="9" t="s">
        <v>17</v>
      </c>
    </row>
    <row r="39" customFormat="false" ht="23.85" hidden="false" customHeight="false" outlineLevel="0" collapsed="false">
      <c r="A39" s="6" t="n">
        <v>35</v>
      </c>
      <c r="B39" s="7" t="n">
        <f aca="false">$C$2+A39-1</f>
        <v>46338</v>
      </c>
      <c r="C39" s="8" t="s">
        <v>137</v>
      </c>
      <c r="D39" s="6" t="s">
        <v>138</v>
      </c>
      <c r="E39" s="6" t="s">
        <v>20</v>
      </c>
      <c r="F39" s="8" t="s">
        <v>139</v>
      </c>
      <c r="G39" s="8" t="s">
        <v>22</v>
      </c>
      <c r="H39" s="6" t="n">
        <v>5</v>
      </c>
      <c r="I39" s="6" t="s">
        <v>17</v>
      </c>
    </row>
    <row r="40" customFormat="false" ht="15" hidden="false" customHeight="false" outlineLevel="0" collapsed="false">
      <c r="A40" s="9" t="n">
        <v>36</v>
      </c>
      <c r="B40" s="10" t="n">
        <f aca="false">$C$2+A40-1</f>
        <v>46339</v>
      </c>
      <c r="C40" s="11" t="s">
        <v>140</v>
      </c>
      <c r="D40" s="9" t="s">
        <v>141</v>
      </c>
      <c r="E40" s="9" t="s">
        <v>25</v>
      </c>
      <c r="F40" s="11" t="s">
        <v>142</v>
      </c>
      <c r="G40" s="11" t="s">
        <v>27</v>
      </c>
      <c r="H40" s="9" t="n">
        <v>5</v>
      </c>
      <c r="I40" s="9" t="s">
        <v>17</v>
      </c>
    </row>
    <row r="41" customFormat="false" ht="15" hidden="false" customHeight="false" outlineLevel="0" collapsed="false">
      <c r="A41" s="6" t="n">
        <v>37</v>
      </c>
      <c r="B41" s="7" t="n">
        <f aca="false">$C$2+A41-1</f>
        <v>46340</v>
      </c>
      <c r="C41" s="8" t="s">
        <v>143</v>
      </c>
      <c r="D41" s="6" t="s">
        <v>144</v>
      </c>
      <c r="E41" s="6" t="s">
        <v>30</v>
      </c>
      <c r="F41" s="8" t="s">
        <v>145</v>
      </c>
      <c r="G41" s="8" t="s">
        <v>32</v>
      </c>
      <c r="H41" s="6" t="n">
        <v>4</v>
      </c>
      <c r="I41" s="6" t="s">
        <v>17</v>
      </c>
    </row>
    <row r="42" customFormat="false" ht="23.85" hidden="false" customHeight="false" outlineLevel="0" collapsed="false">
      <c r="A42" s="9" t="n">
        <v>38</v>
      </c>
      <c r="B42" s="10" t="n">
        <f aca="false">$C$2+A42-1</f>
        <v>46341</v>
      </c>
      <c r="C42" s="11" t="s">
        <v>146</v>
      </c>
      <c r="D42" s="9" t="s">
        <v>147</v>
      </c>
      <c r="E42" s="9" t="s">
        <v>35</v>
      </c>
      <c r="F42" s="11" t="s">
        <v>148</v>
      </c>
      <c r="G42" s="11" t="s">
        <v>37</v>
      </c>
      <c r="H42" s="9" t="n">
        <v>5</v>
      </c>
      <c r="I42" s="9" t="s">
        <v>17</v>
      </c>
    </row>
    <row r="43" customFormat="false" ht="15" hidden="false" customHeight="false" outlineLevel="0" collapsed="false">
      <c r="A43" s="6" t="n">
        <v>39</v>
      </c>
      <c r="B43" s="7" t="n">
        <f aca="false">$C$2+A43-1</f>
        <v>46342</v>
      </c>
      <c r="C43" s="8" t="s">
        <v>149</v>
      </c>
      <c r="D43" s="6" t="s">
        <v>150</v>
      </c>
      <c r="E43" s="6" t="s">
        <v>40</v>
      </c>
      <c r="F43" s="8" t="s">
        <v>151</v>
      </c>
      <c r="G43" s="8" t="s">
        <v>42</v>
      </c>
      <c r="H43" s="6" t="n">
        <v>4</v>
      </c>
      <c r="I43" s="6" t="s">
        <v>17</v>
      </c>
    </row>
    <row r="44" customFormat="false" ht="15" hidden="false" customHeight="false" outlineLevel="0" collapsed="false">
      <c r="A44" s="9" t="n">
        <v>40</v>
      </c>
      <c r="B44" s="10" t="n">
        <f aca="false">$C$2+A44-1</f>
        <v>46343</v>
      </c>
      <c r="C44" s="11" t="s">
        <v>152</v>
      </c>
      <c r="D44" s="9" t="s">
        <v>153</v>
      </c>
      <c r="E44" s="9" t="s">
        <v>45</v>
      </c>
      <c r="F44" s="11" t="s">
        <v>154</v>
      </c>
      <c r="G44" s="11" t="s">
        <v>47</v>
      </c>
      <c r="H44" s="9" t="n">
        <v>4</v>
      </c>
      <c r="I44" s="9" t="s">
        <v>17</v>
      </c>
    </row>
    <row r="45" customFormat="false" ht="23.85" hidden="false" customHeight="false" outlineLevel="0" collapsed="false">
      <c r="A45" s="6" t="n">
        <v>41</v>
      </c>
      <c r="B45" s="7" t="n">
        <f aca="false">$C$2+A45-1</f>
        <v>46344</v>
      </c>
      <c r="C45" s="8" t="s">
        <v>155</v>
      </c>
      <c r="D45" s="6" t="s">
        <v>156</v>
      </c>
      <c r="E45" s="6" t="s">
        <v>50</v>
      </c>
      <c r="F45" s="8" t="s">
        <v>157</v>
      </c>
      <c r="G45" s="8" t="s">
        <v>52</v>
      </c>
      <c r="H45" s="6" t="n">
        <v>5</v>
      </c>
      <c r="I45" s="6" t="s">
        <v>17</v>
      </c>
    </row>
    <row r="46" customFormat="false" ht="15" hidden="false" customHeight="false" outlineLevel="0" collapsed="false">
      <c r="A46" s="9" t="n">
        <v>42</v>
      </c>
      <c r="B46" s="10" t="n">
        <f aca="false">$C$2+A46-1</f>
        <v>46345</v>
      </c>
      <c r="C46" s="11" t="s">
        <v>158</v>
      </c>
      <c r="D46" s="9" t="s">
        <v>159</v>
      </c>
      <c r="E46" s="9" t="s">
        <v>55</v>
      </c>
      <c r="F46" s="11" t="s">
        <v>160</v>
      </c>
      <c r="G46" s="11" t="s">
        <v>57</v>
      </c>
      <c r="H46" s="9" t="n">
        <v>5</v>
      </c>
      <c r="I46" s="9" t="s">
        <v>17</v>
      </c>
    </row>
    <row r="47" customFormat="false" ht="15" hidden="false" customHeight="false" outlineLevel="0" collapsed="false">
      <c r="A47" s="6" t="n">
        <v>43</v>
      </c>
      <c r="B47" s="7" t="n">
        <f aca="false">$C$2+A47-1</f>
        <v>46346</v>
      </c>
      <c r="C47" s="8" t="s">
        <v>161</v>
      </c>
      <c r="D47" s="6" t="s">
        <v>162</v>
      </c>
      <c r="E47" s="6" t="s">
        <v>60</v>
      </c>
      <c r="F47" s="8" t="s">
        <v>163</v>
      </c>
      <c r="G47" s="8" t="s">
        <v>62</v>
      </c>
      <c r="H47" s="6" t="n">
        <v>5</v>
      </c>
      <c r="I47" s="6" t="s">
        <v>17</v>
      </c>
    </row>
    <row r="48" customFormat="false" ht="23.85" hidden="false" customHeight="false" outlineLevel="0" collapsed="false">
      <c r="A48" s="9" t="n">
        <v>44</v>
      </c>
      <c r="B48" s="10" t="n">
        <f aca="false">$C$2+A48-1</f>
        <v>46347</v>
      </c>
      <c r="C48" s="11" t="s">
        <v>164</v>
      </c>
      <c r="D48" s="9" t="s">
        <v>165</v>
      </c>
      <c r="E48" s="9" t="s">
        <v>65</v>
      </c>
      <c r="F48" s="11" t="s">
        <v>166</v>
      </c>
      <c r="G48" s="11" t="s">
        <v>67</v>
      </c>
      <c r="H48" s="9" t="n">
        <v>5</v>
      </c>
      <c r="I48" s="9" t="s">
        <v>17</v>
      </c>
    </row>
    <row r="49" customFormat="false" ht="23.85" hidden="false" customHeight="false" outlineLevel="0" collapsed="false">
      <c r="A49" s="6" t="n">
        <v>45</v>
      </c>
      <c r="B49" s="7" t="n">
        <f aca="false">$C$2+A49-1</f>
        <v>46348</v>
      </c>
      <c r="C49" s="8" t="s">
        <v>167</v>
      </c>
      <c r="D49" s="6" t="s">
        <v>168</v>
      </c>
      <c r="E49" s="6" t="s">
        <v>14</v>
      </c>
      <c r="F49" s="8" t="s">
        <v>169</v>
      </c>
      <c r="G49" s="8" t="s">
        <v>16</v>
      </c>
      <c r="H49" s="6" t="n">
        <v>6</v>
      </c>
      <c r="I49" s="6" t="s">
        <v>17</v>
      </c>
    </row>
    <row r="50" customFormat="false" ht="23.85" hidden="false" customHeight="false" outlineLevel="0" collapsed="false">
      <c r="A50" s="9" t="n">
        <v>46</v>
      </c>
      <c r="B50" s="10" t="n">
        <f aca="false">$C$2+A50-1</f>
        <v>46349</v>
      </c>
      <c r="C50" s="11" t="s">
        <v>170</v>
      </c>
      <c r="D50" s="9" t="s">
        <v>171</v>
      </c>
      <c r="E50" s="9" t="s">
        <v>20</v>
      </c>
      <c r="F50" s="11" t="s">
        <v>172</v>
      </c>
      <c r="G50" s="11" t="s">
        <v>22</v>
      </c>
      <c r="H50" s="9" t="n">
        <v>5</v>
      </c>
      <c r="I50" s="9" t="s">
        <v>17</v>
      </c>
    </row>
    <row r="51" customFormat="false" ht="15" hidden="false" customHeight="false" outlineLevel="0" collapsed="false">
      <c r="A51" s="6" t="n">
        <v>47</v>
      </c>
      <c r="B51" s="7" t="n">
        <f aca="false">$C$2+A51-1</f>
        <v>46350</v>
      </c>
      <c r="C51" s="8" t="s">
        <v>173</v>
      </c>
      <c r="D51" s="6" t="s">
        <v>174</v>
      </c>
      <c r="E51" s="6" t="s">
        <v>25</v>
      </c>
      <c r="F51" s="8" t="s">
        <v>175</v>
      </c>
      <c r="G51" s="8" t="s">
        <v>27</v>
      </c>
      <c r="H51" s="6" t="n">
        <v>5</v>
      </c>
      <c r="I51" s="6" t="s">
        <v>17</v>
      </c>
    </row>
    <row r="52" customFormat="false" ht="23.85" hidden="false" customHeight="false" outlineLevel="0" collapsed="false">
      <c r="A52" s="9" t="n">
        <v>48</v>
      </c>
      <c r="B52" s="10" t="n">
        <f aca="false">$C$2+A52-1</f>
        <v>46351</v>
      </c>
      <c r="C52" s="11" t="s">
        <v>176</v>
      </c>
      <c r="D52" s="9" t="s">
        <v>177</v>
      </c>
      <c r="E52" s="9" t="s">
        <v>30</v>
      </c>
      <c r="F52" s="11" t="s">
        <v>178</v>
      </c>
      <c r="G52" s="11" t="s">
        <v>32</v>
      </c>
      <c r="H52" s="9" t="n">
        <v>5</v>
      </c>
      <c r="I52" s="9" t="s">
        <v>17</v>
      </c>
    </row>
    <row r="53" customFormat="false" ht="15" hidden="false" customHeight="false" outlineLevel="0" collapsed="false">
      <c r="A53" s="6" t="n">
        <v>49</v>
      </c>
      <c r="B53" s="7" t="n">
        <f aca="false">$C$2+A53-1</f>
        <v>46352</v>
      </c>
      <c r="C53" s="8" t="s">
        <v>179</v>
      </c>
      <c r="D53" s="6" t="s">
        <v>180</v>
      </c>
      <c r="E53" s="6" t="s">
        <v>35</v>
      </c>
      <c r="F53" s="8" t="s">
        <v>181</v>
      </c>
      <c r="G53" s="8" t="s">
        <v>37</v>
      </c>
      <c r="H53" s="6" t="n">
        <v>5</v>
      </c>
      <c r="I53" s="6" t="s">
        <v>17</v>
      </c>
    </row>
    <row r="54" customFormat="false" ht="23.85" hidden="false" customHeight="false" outlineLevel="0" collapsed="false">
      <c r="A54" s="9" t="n">
        <v>50</v>
      </c>
      <c r="B54" s="10" t="n">
        <f aca="false">$C$2+A54-1</f>
        <v>46353</v>
      </c>
      <c r="C54" s="11" t="s">
        <v>182</v>
      </c>
      <c r="D54" s="9" t="s">
        <v>183</v>
      </c>
      <c r="E54" s="9" t="s">
        <v>40</v>
      </c>
      <c r="F54" s="11" t="s">
        <v>184</v>
      </c>
      <c r="G54" s="11" t="s">
        <v>42</v>
      </c>
      <c r="H54" s="9" t="n">
        <v>4</v>
      </c>
      <c r="I54" s="9" t="s">
        <v>17</v>
      </c>
    </row>
    <row r="55" customFormat="false" ht="23.85" hidden="false" customHeight="false" outlineLevel="0" collapsed="false">
      <c r="A55" s="6" t="n">
        <v>51</v>
      </c>
      <c r="B55" s="7" t="n">
        <f aca="false">$C$2+A55-1</f>
        <v>46354</v>
      </c>
      <c r="C55" s="8" t="s">
        <v>185</v>
      </c>
      <c r="D55" s="6" t="s">
        <v>186</v>
      </c>
      <c r="E55" s="6" t="s">
        <v>45</v>
      </c>
      <c r="F55" s="8" t="s">
        <v>187</v>
      </c>
      <c r="G55" s="8" t="s">
        <v>47</v>
      </c>
      <c r="H55" s="6" t="n">
        <v>4</v>
      </c>
      <c r="I55" s="6" t="s">
        <v>17</v>
      </c>
    </row>
    <row r="56" customFormat="false" ht="23.85" hidden="false" customHeight="false" outlineLevel="0" collapsed="false">
      <c r="A56" s="9" t="n">
        <v>52</v>
      </c>
      <c r="B56" s="10" t="n">
        <f aca="false">$C$2+A56-1</f>
        <v>46355</v>
      </c>
      <c r="C56" s="11" t="s">
        <v>188</v>
      </c>
      <c r="D56" s="9" t="s">
        <v>189</v>
      </c>
      <c r="E56" s="9" t="s">
        <v>50</v>
      </c>
      <c r="F56" s="11" t="s">
        <v>190</v>
      </c>
      <c r="G56" s="11" t="s">
        <v>52</v>
      </c>
      <c r="H56" s="9" t="n">
        <v>6</v>
      </c>
      <c r="I56" s="9" t="s">
        <v>17</v>
      </c>
    </row>
    <row r="57" customFormat="false" ht="15" hidden="false" customHeight="false" outlineLevel="0" collapsed="false">
      <c r="A57" s="6" t="n">
        <v>53</v>
      </c>
      <c r="B57" s="7" t="n">
        <f aca="false">$C$2+A57-1</f>
        <v>46356</v>
      </c>
      <c r="C57" s="8" t="s">
        <v>191</v>
      </c>
      <c r="D57" s="6" t="s">
        <v>192</v>
      </c>
      <c r="E57" s="6" t="s">
        <v>55</v>
      </c>
      <c r="F57" s="8" t="s">
        <v>193</v>
      </c>
      <c r="G57" s="8" t="s">
        <v>57</v>
      </c>
      <c r="H57" s="6" t="n">
        <v>5</v>
      </c>
      <c r="I57" s="6" t="s">
        <v>17</v>
      </c>
    </row>
    <row r="58" customFormat="false" ht="23.85" hidden="false" customHeight="false" outlineLevel="0" collapsed="false">
      <c r="A58" s="9" t="n">
        <v>54</v>
      </c>
      <c r="B58" s="10" t="n">
        <f aca="false">$C$2+A58-1</f>
        <v>46357</v>
      </c>
      <c r="C58" s="11" t="s">
        <v>194</v>
      </c>
      <c r="D58" s="9" t="s">
        <v>195</v>
      </c>
      <c r="E58" s="9" t="s">
        <v>60</v>
      </c>
      <c r="F58" s="11" t="s">
        <v>196</v>
      </c>
      <c r="G58" s="11" t="s">
        <v>62</v>
      </c>
      <c r="H58" s="9" t="n">
        <v>6</v>
      </c>
      <c r="I58" s="9" t="s">
        <v>17</v>
      </c>
    </row>
    <row r="59" customFormat="false" ht="15" hidden="false" customHeight="false" outlineLevel="0" collapsed="false">
      <c r="A59" s="6" t="n">
        <v>55</v>
      </c>
      <c r="B59" s="7" t="n">
        <f aca="false">$C$2+A59-1</f>
        <v>46358</v>
      </c>
      <c r="C59" s="8" t="s">
        <v>197</v>
      </c>
      <c r="D59" s="6" t="s">
        <v>198</v>
      </c>
      <c r="E59" s="6" t="s">
        <v>65</v>
      </c>
      <c r="F59" s="8" t="s">
        <v>199</v>
      </c>
      <c r="G59" s="8" t="s">
        <v>67</v>
      </c>
      <c r="H59" s="6" t="n">
        <v>4</v>
      </c>
      <c r="I59" s="6" t="s">
        <v>17</v>
      </c>
    </row>
    <row r="60" customFormat="false" ht="23.85" hidden="false" customHeight="false" outlineLevel="0" collapsed="false">
      <c r="A60" s="9" t="n">
        <v>56</v>
      </c>
      <c r="B60" s="10" t="n">
        <f aca="false">$C$2+A60-1</f>
        <v>46359</v>
      </c>
      <c r="C60" s="11" t="s">
        <v>200</v>
      </c>
      <c r="D60" s="9" t="s">
        <v>201</v>
      </c>
      <c r="E60" s="9" t="s">
        <v>14</v>
      </c>
      <c r="F60" s="11" t="s">
        <v>202</v>
      </c>
      <c r="G60" s="11" t="s">
        <v>16</v>
      </c>
      <c r="H60" s="9" t="n">
        <v>6</v>
      </c>
      <c r="I60" s="9" t="s">
        <v>17</v>
      </c>
    </row>
    <row r="61" customFormat="false" ht="23.85" hidden="false" customHeight="false" outlineLevel="0" collapsed="false">
      <c r="A61" s="6" t="n">
        <v>57</v>
      </c>
      <c r="B61" s="7" t="n">
        <f aca="false">$C$2+A61-1</f>
        <v>46360</v>
      </c>
      <c r="C61" s="8" t="s">
        <v>203</v>
      </c>
      <c r="D61" s="6" t="s">
        <v>204</v>
      </c>
      <c r="E61" s="6" t="s">
        <v>20</v>
      </c>
      <c r="F61" s="8" t="s">
        <v>205</v>
      </c>
      <c r="G61" s="8" t="s">
        <v>22</v>
      </c>
      <c r="H61" s="6" t="n">
        <v>4</v>
      </c>
      <c r="I61" s="6" t="s">
        <v>17</v>
      </c>
    </row>
    <row r="62" customFormat="false" ht="23.85" hidden="false" customHeight="false" outlineLevel="0" collapsed="false">
      <c r="A62" s="9" t="n">
        <v>58</v>
      </c>
      <c r="B62" s="10" t="n">
        <f aca="false">$C$2+A62-1</f>
        <v>46361</v>
      </c>
      <c r="C62" s="11" t="s">
        <v>206</v>
      </c>
      <c r="D62" s="9" t="s">
        <v>207</v>
      </c>
      <c r="E62" s="9" t="s">
        <v>25</v>
      </c>
      <c r="F62" s="11" t="s">
        <v>208</v>
      </c>
      <c r="G62" s="11" t="s">
        <v>27</v>
      </c>
      <c r="H62" s="9" t="n">
        <v>5</v>
      </c>
      <c r="I62" s="9" t="s">
        <v>17</v>
      </c>
    </row>
    <row r="63" customFormat="false" ht="23.85" hidden="false" customHeight="false" outlineLevel="0" collapsed="false">
      <c r="A63" s="6" t="n">
        <v>59</v>
      </c>
      <c r="B63" s="7" t="n">
        <f aca="false">$C$2+A63-1</f>
        <v>46362</v>
      </c>
      <c r="C63" s="8" t="s">
        <v>209</v>
      </c>
      <c r="D63" s="6" t="s">
        <v>210</v>
      </c>
      <c r="E63" s="6" t="s">
        <v>30</v>
      </c>
      <c r="F63" s="8" t="s">
        <v>211</v>
      </c>
      <c r="G63" s="8" t="s">
        <v>32</v>
      </c>
      <c r="H63" s="6" t="n">
        <v>4</v>
      </c>
      <c r="I63" s="6" t="s">
        <v>17</v>
      </c>
    </row>
    <row r="64" customFormat="false" ht="15" hidden="false" customHeight="false" outlineLevel="0" collapsed="false">
      <c r="A64" s="9" t="n">
        <v>60</v>
      </c>
      <c r="B64" s="10" t="n">
        <f aca="false">$C$2+A64-1</f>
        <v>46363</v>
      </c>
      <c r="C64" s="11" t="s">
        <v>212</v>
      </c>
      <c r="D64" s="9" t="s">
        <v>213</v>
      </c>
      <c r="E64" s="9" t="s">
        <v>35</v>
      </c>
      <c r="F64" s="11" t="s">
        <v>214</v>
      </c>
      <c r="G64" s="11" t="s">
        <v>37</v>
      </c>
      <c r="H64" s="9" t="n">
        <v>4</v>
      </c>
      <c r="I64" s="9" t="s">
        <v>17</v>
      </c>
    </row>
    <row r="65" customFormat="false" ht="23.85" hidden="false" customHeight="false" outlineLevel="0" collapsed="false">
      <c r="A65" s="6" t="n">
        <v>61</v>
      </c>
      <c r="B65" s="7" t="n">
        <f aca="false">$C$2+A65-1</f>
        <v>46364</v>
      </c>
      <c r="C65" s="8" t="s">
        <v>215</v>
      </c>
      <c r="D65" s="6" t="s">
        <v>216</v>
      </c>
      <c r="E65" s="6" t="s">
        <v>40</v>
      </c>
      <c r="F65" s="8" t="s">
        <v>217</v>
      </c>
      <c r="G65" s="8" t="s">
        <v>42</v>
      </c>
      <c r="H65" s="6" t="n">
        <v>6</v>
      </c>
      <c r="I65" s="6" t="s">
        <v>17</v>
      </c>
    </row>
    <row r="66" customFormat="false" ht="15" hidden="false" customHeight="false" outlineLevel="0" collapsed="false">
      <c r="A66" s="9" t="n">
        <v>62</v>
      </c>
      <c r="B66" s="10" t="n">
        <f aca="false">$C$2+A66-1</f>
        <v>46365</v>
      </c>
      <c r="C66" s="11" t="s">
        <v>218</v>
      </c>
      <c r="D66" s="9" t="s">
        <v>219</v>
      </c>
      <c r="E66" s="9" t="s">
        <v>45</v>
      </c>
      <c r="F66" s="11" t="s">
        <v>220</v>
      </c>
      <c r="G66" s="11" t="s">
        <v>47</v>
      </c>
      <c r="H66" s="9" t="n">
        <v>4</v>
      </c>
      <c r="I66" s="9" t="s">
        <v>17</v>
      </c>
    </row>
    <row r="67" customFormat="false" ht="23.85" hidden="false" customHeight="false" outlineLevel="0" collapsed="false">
      <c r="A67" s="6" t="n">
        <v>63</v>
      </c>
      <c r="B67" s="7" t="n">
        <f aca="false">$C$2+A67-1</f>
        <v>46366</v>
      </c>
      <c r="C67" s="8" t="s">
        <v>221</v>
      </c>
      <c r="D67" s="6" t="s">
        <v>222</v>
      </c>
      <c r="E67" s="6" t="s">
        <v>50</v>
      </c>
      <c r="F67" s="8" t="s">
        <v>223</v>
      </c>
      <c r="G67" s="8" t="s">
        <v>52</v>
      </c>
      <c r="H67" s="6" t="n">
        <v>5</v>
      </c>
      <c r="I67" s="6" t="s">
        <v>17</v>
      </c>
    </row>
    <row r="68" customFormat="false" ht="15" hidden="false" customHeight="false" outlineLevel="0" collapsed="false">
      <c r="A68" s="9" t="n">
        <v>64</v>
      </c>
      <c r="B68" s="10" t="n">
        <f aca="false">$C$2+A68-1</f>
        <v>46367</v>
      </c>
      <c r="C68" s="11" t="s">
        <v>224</v>
      </c>
      <c r="D68" s="9" t="s">
        <v>225</v>
      </c>
      <c r="E68" s="9" t="s">
        <v>55</v>
      </c>
      <c r="F68" s="11" t="s">
        <v>226</v>
      </c>
      <c r="G68" s="11" t="s">
        <v>57</v>
      </c>
      <c r="H68" s="9" t="n">
        <v>4</v>
      </c>
      <c r="I68" s="9" t="s">
        <v>17</v>
      </c>
    </row>
    <row r="69" customFormat="false" ht="23.85" hidden="false" customHeight="false" outlineLevel="0" collapsed="false">
      <c r="A69" s="6" t="n">
        <v>65</v>
      </c>
      <c r="B69" s="7" t="n">
        <f aca="false">$C$2+A69-1</f>
        <v>46368</v>
      </c>
      <c r="C69" s="8" t="s">
        <v>227</v>
      </c>
      <c r="D69" s="6" t="s">
        <v>228</v>
      </c>
      <c r="E69" s="6" t="s">
        <v>60</v>
      </c>
      <c r="F69" s="8" t="s">
        <v>229</v>
      </c>
      <c r="G69" s="8" t="s">
        <v>62</v>
      </c>
      <c r="H69" s="6" t="n">
        <v>5</v>
      </c>
      <c r="I69" s="6" t="s">
        <v>17</v>
      </c>
    </row>
    <row r="70" customFormat="false" ht="23.85" hidden="false" customHeight="false" outlineLevel="0" collapsed="false">
      <c r="A70" s="9" t="n">
        <v>66</v>
      </c>
      <c r="B70" s="10" t="n">
        <f aca="false">$C$2+A70-1</f>
        <v>46369</v>
      </c>
      <c r="C70" s="11" t="s">
        <v>230</v>
      </c>
      <c r="D70" s="9" t="s">
        <v>231</v>
      </c>
      <c r="E70" s="9" t="s">
        <v>65</v>
      </c>
      <c r="F70" s="11" t="s">
        <v>232</v>
      </c>
      <c r="G70" s="11" t="s">
        <v>67</v>
      </c>
      <c r="H70" s="9" t="n">
        <v>5</v>
      </c>
      <c r="I70" s="9" t="s">
        <v>17</v>
      </c>
    </row>
    <row r="71" customFormat="false" ht="23.85" hidden="false" customHeight="false" outlineLevel="0" collapsed="false">
      <c r="A71" s="6" t="n">
        <v>67</v>
      </c>
      <c r="B71" s="7" t="n">
        <f aca="false">$C$2+A71-1</f>
        <v>46370</v>
      </c>
      <c r="C71" s="8" t="s">
        <v>233</v>
      </c>
      <c r="D71" s="6" t="s">
        <v>234</v>
      </c>
      <c r="E71" s="6" t="s">
        <v>14</v>
      </c>
      <c r="F71" s="8" t="s">
        <v>235</v>
      </c>
      <c r="G71" s="8" t="s">
        <v>16</v>
      </c>
      <c r="H71" s="6" t="n">
        <v>5</v>
      </c>
      <c r="I71" s="6" t="s">
        <v>17</v>
      </c>
    </row>
    <row r="72" customFormat="false" ht="23.85" hidden="false" customHeight="false" outlineLevel="0" collapsed="false">
      <c r="A72" s="9" t="n">
        <v>68</v>
      </c>
      <c r="B72" s="10" t="n">
        <f aca="false">$C$2+A72-1</f>
        <v>46371</v>
      </c>
      <c r="C72" s="11" t="s">
        <v>236</v>
      </c>
      <c r="D72" s="9" t="s">
        <v>237</v>
      </c>
      <c r="E72" s="9" t="s">
        <v>20</v>
      </c>
      <c r="F72" s="11" t="s">
        <v>238</v>
      </c>
      <c r="G72" s="11" t="s">
        <v>22</v>
      </c>
      <c r="H72" s="9" t="n">
        <v>6</v>
      </c>
      <c r="I72" s="9" t="s">
        <v>17</v>
      </c>
    </row>
    <row r="73" customFormat="false" ht="23.85" hidden="false" customHeight="false" outlineLevel="0" collapsed="false">
      <c r="A73" s="6" t="n">
        <v>69</v>
      </c>
      <c r="B73" s="7" t="n">
        <f aca="false">$C$2+A73-1</f>
        <v>46372</v>
      </c>
      <c r="C73" s="8" t="s">
        <v>239</v>
      </c>
      <c r="D73" s="6" t="s">
        <v>240</v>
      </c>
      <c r="E73" s="6" t="s">
        <v>25</v>
      </c>
      <c r="F73" s="8" t="s">
        <v>241</v>
      </c>
      <c r="G73" s="8" t="s">
        <v>27</v>
      </c>
      <c r="H73" s="6" t="n">
        <v>6</v>
      </c>
      <c r="I73" s="6" t="s">
        <v>17</v>
      </c>
    </row>
    <row r="74" customFormat="false" ht="23.85" hidden="false" customHeight="false" outlineLevel="0" collapsed="false">
      <c r="A74" s="9" t="n">
        <v>70</v>
      </c>
      <c r="B74" s="10" t="n">
        <f aca="false">$C$2+A74-1</f>
        <v>46373</v>
      </c>
      <c r="C74" s="11" t="s">
        <v>242</v>
      </c>
      <c r="D74" s="9" t="s">
        <v>243</v>
      </c>
      <c r="E74" s="9" t="s">
        <v>30</v>
      </c>
      <c r="F74" s="11" t="s">
        <v>244</v>
      </c>
      <c r="G74" s="11" t="s">
        <v>32</v>
      </c>
      <c r="H74" s="9" t="n">
        <v>4</v>
      </c>
      <c r="I74" s="9" t="s">
        <v>17</v>
      </c>
    </row>
    <row r="75" customFormat="false" ht="23.85" hidden="false" customHeight="false" outlineLevel="0" collapsed="false">
      <c r="A75" s="6" t="n">
        <v>71</v>
      </c>
      <c r="B75" s="7" t="n">
        <f aca="false">$C$2+A75-1</f>
        <v>46374</v>
      </c>
      <c r="C75" s="8" t="s">
        <v>245</v>
      </c>
      <c r="D75" s="6" t="s">
        <v>246</v>
      </c>
      <c r="E75" s="6" t="s">
        <v>35</v>
      </c>
      <c r="F75" s="8" t="s">
        <v>247</v>
      </c>
      <c r="G75" s="8" t="s">
        <v>37</v>
      </c>
      <c r="H75" s="6" t="n">
        <v>6</v>
      </c>
      <c r="I75" s="6" t="s">
        <v>17</v>
      </c>
    </row>
    <row r="76" customFormat="false" ht="15" hidden="false" customHeight="false" outlineLevel="0" collapsed="false">
      <c r="A76" s="9" t="n">
        <v>72</v>
      </c>
      <c r="B76" s="10" t="n">
        <f aca="false">$C$2+A76-1</f>
        <v>46375</v>
      </c>
      <c r="C76" s="11" t="s">
        <v>248</v>
      </c>
      <c r="D76" s="9" t="s">
        <v>249</v>
      </c>
      <c r="E76" s="9" t="s">
        <v>40</v>
      </c>
      <c r="F76" s="11" t="s">
        <v>250</v>
      </c>
      <c r="G76" s="11" t="s">
        <v>42</v>
      </c>
      <c r="H76" s="9" t="n">
        <v>4</v>
      </c>
      <c r="I76" s="9" t="s">
        <v>17</v>
      </c>
    </row>
    <row r="77" customFormat="false" ht="23.85" hidden="false" customHeight="false" outlineLevel="0" collapsed="false">
      <c r="A77" s="6" t="n">
        <v>73</v>
      </c>
      <c r="B77" s="7" t="n">
        <f aca="false">$C$2+A77-1</f>
        <v>46376</v>
      </c>
      <c r="C77" s="8" t="s">
        <v>251</v>
      </c>
      <c r="D77" s="6" t="s">
        <v>252</v>
      </c>
      <c r="E77" s="6" t="s">
        <v>45</v>
      </c>
      <c r="F77" s="8" t="s">
        <v>253</v>
      </c>
      <c r="G77" s="8" t="s">
        <v>47</v>
      </c>
      <c r="H77" s="6" t="n">
        <v>5</v>
      </c>
      <c r="I77" s="6" t="s">
        <v>17</v>
      </c>
    </row>
    <row r="78" customFormat="false" ht="23.85" hidden="false" customHeight="false" outlineLevel="0" collapsed="false">
      <c r="A78" s="9" t="n">
        <v>74</v>
      </c>
      <c r="B78" s="10" t="n">
        <f aca="false">$C$2+A78-1</f>
        <v>46377</v>
      </c>
      <c r="C78" s="11" t="s">
        <v>254</v>
      </c>
      <c r="D78" s="9" t="s">
        <v>255</v>
      </c>
      <c r="E78" s="9" t="s">
        <v>50</v>
      </c>
      <c r="F78" s="11" t="s">
        <v>256</v>
      </c>
      <c r="G78" s="11" t="s">
        <v>52</v>
      </c>
      <c r="H78" s="9" t="n">
        <v>6</v>
      </c>
      <c r="I78" s="9" t="s">
        <v>17</v>
      </c>
    </row>
    <row r="79" customFormat="false" ht="23.85" hidden="false" customHeight="false" outlineLevel="0" collapsed="false">
      <c r="A79" s="6" t="n">
        <v>75</v>
      </c>
      <c r="B79" s="7" t="n">
        <f aca="false">$C$2+A79-1</f>
        <v>46378</v>
      </c>
      <c r="C79" s="8" t="s">
        <v>257</v>
      </c>
      <c r="D79" s="6" t="s">
        <v>258</v>
      </c>
      <c r="E79" s="6" t="s">
        <v>55</v>
      </c>
      <c r="F79" s="8" t="s">
        <v>259</v>
      </c>
      <c r="G79" s="8" t="s">
        <v>57</v>
      </c>
      <c r="H79" s="6" t="n">
        <v>5</v>
      </c>
      <c r="I79" s="6" t="s">
        <v>17</v>
      </c>
    </row>
    <row r="80" customFormat="false" ht="15" hidden="false" customHeight="false" outlineLevel="0" collapsed="false">
      <c r="A80" s="9" t="n">
        <v>76</v>
      </c>
      <c r="B80" s="10" t="n">
        <f aca="false">$C$2+A80-1</f>
        <v>46379</v>
      </c>
      <c r="C80" s="11" t="s">
        <v>260</v>
      </c>
      <c r="D80" s="9" t="s">
        <v>261</v>
      </c>
      <c r="E80" s="9" t="s">
        <v>60</v>
      </c>
      <c r="F80" s="11" t="s">
        <v>262</v>
      </c>
      <c r="G80" s="11" t="s">
        <v>62</v>
      </c>
      <c r="H80" s="9" t="n">
        <v>5</v>
      </c>
      <c r="I80" s="9" t="s">
        <v>17</v>
      </c>
    </row>
    <row r="81" customFormat="false" ht="15" hidden="false" customHeight="false" outlineLevel="0" collapsed="false">
      <c r="A81" s="6" t="n">
        <v>77</v>
      </c>
      <c r="B81" s="7" t="n">
        <f aca="false">$C$2+A81-1</f>
        <v>46380</v>
      </c>
      <c r="C81" s="8" t="s">
        <v>263</v>
      </c>
      <c r="D81" s="6" t="s">
        <v>264</v>
      </c>
      <c r="E81" s="6" t="s">
        <v>65</v>
      </c>
      <c r="F81" s="8" t="s">
        <v>265</v>
      </c>
      <c r="G81" s="8" t="s">
        <v>67</v>
      </c>
      <c r="H81" s="6" t="n">
        <v>4</v>
      </c>
      <c r="I81" s="6" t="s">
        <v>17</v>
      </c>
    </row>
    <row r="82" customFormat="false" ht="23.85" hidden="false" customHeight="false" outlineLevel="0" collapsed="false">
      <c r="A82" s="9" t="n">
        <v>78</v>
      </c>
      <c r="B82" s="10" t="n">
        <f aca="false">$C$2+A82-1</f>
        <v>46381</v>
      </c>
      <c r="C82" s="11" t="s">
        <v>266</v>
      </c>
      <c r="D82" s="9" t="s">
        <v>267</v>
      </c>
      <c r="E82" s="9" t="s">
        <v>14</v>
      </c>
      <c r="F82" s="11" t="s">
        <v>268</v>
      </c>
      <c r="G82" s="11" t="s">
        <v>16</v>
      </c>
      <c r="H82" s="9" t="n">
        <v>5</v>
      </c>
      <c r="I82" s="9" t="s">
        <v>17</v>
      </c>
    </row>
    <row r="83" customFormat="false" ht="23.85" hidden="false" customHeight="false" outlineLevel="0" collapsed="false">
      <c r="A83" s="6" t="n">
        <v>79</v>
      </c>
      <c r="B83" s="7" t="n">
        <f aca="false">$C$2+A83-1</f>
        <v>46382</v>
      </c>
      <c r="C83" s="8" t="s">
        <v>269</v>
      </c>
      <c r="D83" s="6" t="s">
        <v>270</v>
      </c>
      <c r="E83" s="6" t="s">
        <v>20</v>
      </c>
      <c r="F83" s="8" t="s">
        <v>271</v>
      </c>
      <c r="G83" s="8" t="s">
        <v>22</v>
      </c>
      <c r="H83" s="6" t="n">
        <v>5</v>
      </c>
      <c r="I83" s="6" t="s">
        <v>17</v>
      </c>
    </row>
    <row r="84" customFormat="false" ht="23.85" hidden="false" customHeight="false" outlineLevel="0" collapsed="false">
      <c r="A84" s="9" t="n">
        <v>80</v>
      </c>
      <c r="B84" s="10" t="n">
        <f aca="false">$C$2+A84-1</f>
        <v>46383</v>
      </c>
      <c r="C84" s="11" t="s">
        <v>272</v>
      </c>
      <c r="D84" s="9" t="s">
        <v>273</v>
      </c>
      <c r="E84" s="9" t="s">
        <v>25</v>
      </c>
      <c r="F84" s="11" t="s">
        <v>274</v>
      </c>
      <c r="G84" s="11" t="s">
        <v>27</v>
      </c>
      <c r="H84" s="9" t="n">
        <v>6</v>
      </c>
      <c r="I84" s="9" t="s">
        <v>17</v>
      </c>
    </row>
    <row r="85" customFormat="false" ht="15" hidden="false" customHeight="false" outlineLevel="0" collapsed="false">
      <c r="A85" s="6" t="n">
        <v>81</v>
      </c>
      <c r="B85" s="7" t="n">
        <f aca="false">$C$2+A85-1</f>
        <v>46384</v>
      </c>
      <c r="C85" s="8" t="s">
        <v>275</v>
      </c>
      <c r="D85" s="6" t="s">
        <v>276</v>
      </c>
      <c r="E85" s="6" t="s">
        <v>30</v>
      </c>
      <c r="F85" s="8" t="s">
        <v>277</v>
      </c>
      <c r="G85" s="8" t="s">
        <v>32</v>
      </c>
      <c r="H85" s="6" t="n">
        <v>5</v>
      </c>
      <c r="I85" s="6" t="s">
        <v>17</v>
      </c>
    </row>
    <row r="86" customFormat="false" ht="23.85" hidden="false" customHeight="false" outlineLevel="0" collapsed="false">
      <c r="A86" s="9" t="n">
        <v>82</v>
      </c>
      <c r="B86" s="10" t="n">
        <f aca="false">$C$2+A86-1</f>
        <v>46385</v>
      </c>
      <c r="C86" s="11" t="s">
        <v>278</v>
      </c>
      <c r="D86" s="9" t="s">
        <v>279</v>
      </c>
      <c r="E86" s="9" t="s">
        <v>35</v>
      </c>
      <c r="F86" s="11" t="s">
        <v>280</v>
      </c>
      <c r="G86" s="11" t="s">
        <v>37</v>
      </c>
      <c r="H86" s="9" t="n">
        <v>6</v>
      </c>
      <c r="I86" s="9" t="s">
        <v>17</v>
      </c>
    </row>
    <row r="87" customFormat="false" ht="23.85" hidden="false" customHeight="false" outlineLevel="0" collapsed="false">
      <c r="A87" s="6" t="n">
        <v>83</v>
      </c>
      <c r="B87" s="7" t="n">
        <f aca="false">$C$2+A87-1</f>
        <v>46386</v>
      </c>
      <c r="C87" s="8" t="s">
        <v>281</v>
      </c>
      <c r="D87" s="6" t="s">
        <v>282</v>
      </c>
      <c r="E87" s="6" t="s">
        <v>40</v>
      </c>
      <c r="F87" s="8" t="s">
        <v>283</v>
      </c>
      <c r="G87" s="8" t="s">
        <v>42</v>
      </c>
      <c r="H87" s="6" t="n">
        <v>5</v>
      </c>
      <c r="I87" s="6" t="s">
        <v>17</v>
      </c>
    </row>
    <row r="88" customFormat="false" ht="15" hidden="false" customHeight="false" outlineLevel="0" collapsed="false">
      <c r="A88" s="9" t="n">
        <v>84</v>
      </c>
      <c r="B88" s="10" t="n">
        <f aca="false">$C$2+A88-1</f>
        <v>46387</v>
      </c>
      <c r="C88" s="11" t="s">
        <v>284</v>
      </c>
      <c r="D88" s="9" t="s">
        <v>285</v>
      </c>
      <c r="E88" s="9" t="s">
        <v>45</v>
      </c>
      <c r="F88" s="11" t="s">
        <v>286</v>
      </c>
      <c r="G88" s="11" t="s">
        <v>47</v>
      </c>
      <c r="H88" s="9" t="n">
        <v>5</v>
      </c>
      <c r="I88" s="9" t="s">
        <v>17</v>
      </c>
    </row>
    <row r="89" customFormat="false" ht="23.85" hidden="false" customHeight="false" outlineLevel="0" collapsed="false">
      <c r="A89" s="6" t="n">
        <v>85</v>
      </c>
      <c r="B89" s="7" t="n">
        <f aca="false">$C$2+A89-1</f>
        <v>46388</v>
      </c>
      <c r="C89" s="8" t="s">
        <v>287</v>
      </c>
      <c r="D89" s="6" t="s">
        <v>288</v>
      </c>
      <c r="E89" s="6" t="s">
        <v>50</v>
      </c>
      <c r="F89" s="8" t="s">
        <v>289</v>
      </c>
      <c r="G89" s="8" t="s">
        <v>52</v>
      </c>
      <c r="H89" s="6" t="n">
        <v>5</v>
      </c>
      <c r="I89" s="6" t="s">
        <v>17</v>
      </c>
    </row>
    <row r="90" customFormat="false" ht="23.85" hidden="false" customHeight="false" outlineLevel="0" collapsed="false">
      <c r="A90" s="9" t="n">
        <v>86</v>
      </c>
      <c r="B90" s="10" t="n">
        <f aca="false">$C$2+A90-1</f>
        <v>46389</v>
      </c>
      <c r="C90" s="11" t="s">
        <v>290</v>
      </c>
      <c r="D90" s="9" t="s">
        <v>291</v>
      </c>
      <c r="E90" s="9" t="s">
        <v>55</v>
      </c>
      <c r="F90" s="11" t="s">
        <v>292</v>
      </c>
      <c r="G90" s="11" t="s">
        <v>57</v>
      </c>
      <c r="H90" s="9" t="n">
        <v>5</v>
      </c>
      <c r="I90" s="9" t="s">
        <v>17</v>
      </c>
    </row>
    <row r="91" customFormat="false" ht="23.85" hidden="false" customHeight="false" outlineLevel="0" collapsed="false">
      <c r="A91" s="6" t="n">
        <v>87</v>
      </c>
      <c r="B91" s="7" t="n">
        <f aca="false">$C$2+A91-1</f>
        <v>46390</v>
      </c>
      <c r="C91" s="8" t="s">
        <v>293</v>
      </c>
      <c r="D91" s="6" t="s">
        <v>294</v>
      </c>
      <c r="E91" s="6" t="s">
        <v>60</v>
      </c>
      <c r="F91" s="8" t="s">
        <v>295</v>
      </c>
      <c r="G91" s="8" t="s">
        <v>62</v>
      </c>
      <c r="H91" s="6" t="n">
        <v>5</v>
      </c>
      <c r="I91" s="6" t="s">
        <v>17</v>
      </c>
    </row>
    <row r="92" customFormat="false" ht="15" hidden="false" customHeight="false" outlineLevel="0" collapsed="false">
      <c r="A92" s="9" t="n">
        <v>88</v>
      </c>
      <c r="B92" s="10" t="n">
        <f aca="false">$C$2+A92-1</f>
        <v>46391</v>
      </c>
      <c r="C92" s="11" t="s">
        <v>296</v>
      </c>
      <c r="D92" s="9" t="s">
        <v>297</v>
      </c>
      <c r="E92" s="9" t="s">
        <v>65</v>
      </c>
      <c r="F92" s="11" t="s">
        <v>298</v>
      </c>
      <c r="G92" s="11" t="s">
        <v>67</v>
      </c>
      <c r="H92" s="9" t="n">
        <v>5</v>
      </c>
      <c r="I92" s="9" t="s">
        <v>17</v>
      </c>
    </row>
    <row r="93" customFormat="false" ht="23.85" hidden="false" customHeight="false" outlineLevel="0" collapsed="false">
      <c r="A93" s="6" t="n">
        <v>89</v>
      </c>
      <c r="B93" s="7" t="n">
        <f aca="false">$C$2+A93-1</f>
        <v>46392</v>
      </c>
      <c r="C93" s="8" t="s">
        <v>299</v>
      </c>
      <c r="D93" s="6" t="s">
        <v>300</v>
      </c>
      <c r="E93" s="6" t="s">
        <v>14</v>
      </c>
      <c r="F93" s="8" t="s">
        <v>301</v>
      </c>
      <c r="G93" s="8" t="s">
        <v>16</v>
      </c>
      <c r="H93" s="6" t="n">
        <v>5</v>
      </c>
      <c r="I93" s="6" t="s">
        <v>17</v>
      </c>
    </row>
    <row r="94" customFormat="false" ht="23.85" hidden="false" customHeight="false" outlineLevel="0" collapsed="false">
      <c r="A94" s="9" t="n">
        <v>90</v>
      </c>
      <c r="B94" s="10" t="n">
        <f aca="false">$C$2+A94-1</f>
        <v>46393</v>
      </c>
      <c r="C94" s="11" t="s">
        <v>302</v>
      </c>
      <c r="D94" s="9" t="s">
        <v>303</v>
      </c>
      <c r="E94" s="9" t="s">
        <v>20</v>
      </c>
      <c r="F94" s="11" t="s">
        <v>304</v>
      </c>
      <c r="G94" s="11" t="s">
        <v>22</v>
      </c>
      <c r="H94" s="9" t="n">
        <v>7</v>
      </c>
      <c r="I94" s="9" t="s">
        <v>17</v>
      </c>
    </row>
    <row r="95" customFormat="false" ht="23.85" hidden="false" customHeight="false" outlineLevel="0" collapsed="false">
      <c r="A95" s="6" t="n">
        <v>91</v>
      </c>
      <c r="B95" s="7" t="n">
        <f aca="false">$C$2+A95-1</f>
        <v>46394</v>
      </c>
      <c r="C95" s="8" t="s">
        <v>305</v>
      </c>
      <c r="D95" s="6" t="s">
        <v>306</v>
      </c>
      <c r="E95" s="6" t="s">
        <v>25</v>
      </c>
      <c r="F95" s="8" t="s">
        <v>307</v>
      </c>
      <c r="G95" s="8" t="s">
        <v>27</v>
      </c>
      <c r="H95" s="6" t="n">
        <v>4</v>
      </c>
      <c r="I95" s="6" t="s">
        <v>17</v>
      </c>
    </row>
    <row r="96" customFormat="false" ht="23.85" hidden="false" customHeight="false" outlineLevel="0" collapsed="false">
      <c r="A96" s="9" t="n">
        <v>92</v>
      </c>
      <c r="B96" s="10" t="n">
        <f aca="false">$C$2+A96-1</f>
        <v>46395</v>
      </c>
      <c r="C96" s="11" t="s">
        <v>308</v>
      </c>
      <c r="D96" s="9" t="s">
        <v>309</v>
      </c>
      <c r="E96" s="9" t="s">
        <v>30</v>
      </c>
      <c r="F96" s="11" t="s">
        <v>310</v>
      </c>
      <c r="G96" s="11" t="s">
        <v>32</v>
      </c>
      <c r="H96" s="9" t="n">
        <v>5</v>
      </c>
      <c r="I96" s="9" t="s">
        <v>17</v>
      </c>
    </row>
    <row r="97" customFormat="false" ht="15" hidden="false" customHeight="false" outlineLevel="0" collapsed="false">
      <c r="A97" s="6" t="n">
        <v>93</v>
      </c>
      <c r="B97" s="7" t="n">
        <f aca="false">$C$2+A97-1</f>
        <v>46396</v>
      </c>
      <c r="C97" s="8" t="s">
        <v>311</v>
      </c>
      <c r="D97" s="6" t="s">
        <v>312</v>
      </c>
      <c r="E97" s="6" t="s">
        <v>35</v>
      </c>
      <c r="F97" s="8" t="s">
        <v>313</v>
      </c>
      <c r="G97" s="8" t="s">
        <v>37</v>
      </c>
      <c r="H97" s="6" t="n">
        <v>5</v>
      </c>
      <c r="I97" s="6" t="s">
        <v>17</v>
      </c>
    </row>
    <row r="98" customFormat="false" ht="23.85" hidden="false" customHeight="false" outlineLevel="0" collapsed="false">
      <c r="A98" s="9" t="n">
        <v>94</v>
      </c>
      <c r="B98" s="10" t="n">
        <f aca="false">$C$2+A98-1</f>
        <v>46397</v>
      </c>
      <c r="C98" s="11" t="s">
        <v>314</v>
      </c>
      <c r="D98" s="9" t="s">
        <v>315</v>
      </c>
      <c r="E98" s="9" t="s">
        <v>40</v>
      </c>
      <c r="F98" s="11" t="s">
        <v>316</v>
      </c>
      <c r="G98" s="11" t="s">
        <v>42</v>
      </c>
      <c r="H98" s="9" t="n">
        <v>4</v>
      </c>
      <c r="I98" s="9" t="s">
        <v>17</v>
      </c>
    </row>
    <row r="99" customFormat="false" ht="15" hidden="false" customHeight="false" outlineLevel="0" collapsed="false">
      <c r="A99" s="6" t="n">
        <v>95</v>
      </c>
      <c r="B99" s="7" t="n">
        <f aca="false">$C$2+A99-1</f>
        <v>46398</v>
      </c>
      <c r="C99" s="8" t="s">
        <v>317</v>
      </c>
      <c r="D99" s="6" t="s">
        <v>318</v>
      </c>
      <c r="E99" s="6" t="s">
        <v>45</v>
      </c>
      <c r="F99" s="8" t="s">
        <v>319</v>
      </c>
      <c r="G99" s="8" t="s">
        <v>47</v>
      </c>
      <c r="H99" s="6" t="n">
        <v>4</v>
      </c>
      <c r="I99" s="6" t="s">
        <v>17</v>
      </c>
    </row>
    <row r="100" customFormat="false" ht="23.85" hidden="false" customHeight="false" outlineLevel="0" collapsed="false">
      <c r="A100" s="9" t="n">
        <v>96</v>
      </c>
      <c r="B100" s="10" t="n">
        <f aca="false">$C$2+A100-1</f>
        <v>46399</v>
      </c>
      <c r="C100" s="11" t="s">
        <v>320</v>
      </c>
      <c r="D100" s="9" t="s">
        <v>321</v>
      </c>
      <c r="E100" s="9" t="s">
        <v>50</v>
      </c>
      <c r="F100" s="11" t="s">
        <v>322</v>
      </c>
      <c r="G100" s="11" t="s">
        <v>52</v>
      </c>
      <c r="H100" s="9" t="n">
        <v>5</v>
      </c>
      <c r="I100" s="9" t="s">
        <v>17</v>
      </c>
    </row>
    <row r="101" customFormat="false" ht="23.85" hidden="false" customHeight="false" outlineLevel="0" collapsed="false">
      <c r="A101" s="6" t="n">
        <v>97</v>
      </c>
      <c r="B101" s="7" t="n">
        <f aca="false">$C$2+A101-1</f>
        <v>46400</v>
      </c>
      <c r="C101" s="8" t="s">
        <v>323</v>
      </c>
      <c r="D101" s="6" t="s">
        <v>324</v>
      </c>
      <c r="E101" s="6" t="s">
        <v>55</v>
      </c>
      <c r="F101" s="8" t="s">
        <v>325</v>
      </c>
      <c r="G101" s="8" t="s">
        <v>57</v>
      </c>
      <c r="H101" s="6" t="n">
        <v>4</v>
      </c>
      <c r="I101" s="6" t="s">
        <v>17</v>
      </c>
    </row>
    <row r="102" customFormat="false" ht="23.85" hidden="false" customHeight="false" outlineLevel="0" collapsed="false">
      <c r="A102" s="9" t="n">
        <v>98</v>
      </c>
      <c r="B102" s="10" t="n">
        <f aca="false">$C$2+A102-1</f>
        <v>46401</v>
      </c>
      <c r="C102" s="11" t="s">
        <v>326</v>
      </c>
      <c r="D102" s="9" t="s">
        <v>327</v>
      </c>
      <c r="E102" s="9" t="s">
        <v>14</v>
      </c>
      <c r="F102" s="11" t="s">
        <v>328</v>
      </c>
      <c r="G102" s="11" t="s">
        <v>16</v>
      </c>
      <c r="H102" s="9" t="n">
        <v>5</v>
      </c>
      <c r="I102" s="9" t="s">
        <v>17</v>
      </c>
    </row>
    <row r="103" customFormat="false" ht="23.85" hidden="false" customHeight="false" outlineLevel="0" collapsed="false">
      <c r="A103" s="6" t="n">
        <v>99</v>
      </c>
      <c r="B103" s="7" t="n">
        <f aca="false">$C$2+A103-1</f>
        <v>46402</v>
      </c>
      <c r="C103" s="8" t="s">
        <v>329</v>
      </c>
      <c r="D103" s="6" t="s">
        <v>330</v>
      </c>
      <c r="E103" s="6" t="s">
        <v>20</v>
      </c>
      <c r="F103" s="8" t="s">
        <v>331</v>
      </c>
      <c r="G103" s="8" t="s">
        <v>22</v>
      </c>
      <c r="H103" s="6" t="n">
        <v>6</v>
      </c>
      <c r="I103" s="6" t="s">
        <v>17</v>
      </c>
    </row>
    <row r="104" customFormat="false" ht="23.85" hidden="false" customHeight="false" outlineLevel="0" collapsed="false">
      <c r="A104" s="9" t="n">
        <v>100</v>
      </c>
      <c r="B104" s="10" t="n">
        <f aca="false">$C$2+A104-1</f>
        <v>46403</v>
      </c>
      <c r="C104" s="11" t="s">
        <v>332</v>
      </c>
      <c r="D104" s="9" t="s">
        <v>333</v>
      </c>
      <c r="E104" s="9" t="s">
        <v>35</v>
      </c>
      <c r="F104" s="11" t="s">
        <v>334</v>
      </c>
      <c r="G104" s="11" t="s">
        <v>37</v>
      </c>
      <c r="H104" s="9" t="n">
        <v>5</v>
      </c>
      <c r="I104" s="9" t="s">
        <v>17</v>
      </c>
    </row>
  </sheetData>
  <autoFilter ref="A4:I104"/>
  <dataValidations count="1">
    <dataValidation allowBlank="true" errorStyle="stop" operator="between" showDropDown="false" showErrorMessage="false" showInputMessage="false" sqref="I5:I104" type="list">
      <formula1>"Planned,Writing,Scheduled,Published"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5" hidden="false" customHeight="false" outlineLevel="0" collapsed="false">
      <c r="A1" s="12" t="s">
        <v>335</v>
      </c>
    </row>
    <row r="3" customFormat="false" ht="15" hidden="false" customHeight="false" outlineLevel="0" collapsed="false">
      <c r="A3" s="2" t="s">
        <v>7</v>
      </c>
      <c r="B3" s="2" t="s">
        <v>336</v>
      </c>
    </row>
    <row r="4" customFormat="false" ht="15" hidden="false" customHeight="false" outlineLevel="0" collapsed="false">
      <c r="A4" s="13" t="s">
        <v>14</v>
      </c>
      <c r="B4" s="13" t="n">
        <f aca="false">COUNTIF(Calendar!$E$5:$E$104,A4)</f>
        <v>10</v>
      </c>
    </row>
    <row r="5" customFormat="false" ht="15" hidden="false" customHeight="false" outlineLevel="0" collapsed="false">
      <c r="A5" s="13" t="s">
        <v>20</v>
      </c>
      <c r="B5" s="13" t="n">
        <f aca="false">COUNTIF(Calendar!$E$5:$E$104,A5)</f>
        <v>10</v>
      </c>
    </row>
    <row r="6" customFormat="false" ht="15" hidden="false" customHeight="false" outlineLevel="0" collapsed="false">
      <c r="A6" s="13" t="s">
        <v>25</v>
      </c>
      <c r="B6" s="13" t="n">
        <f aca="false">COUNTIF(Calendar!$E$5:$E$104,A6)</f>
        <v>9</v>
      </c>
    </row>
    <row r="7" customFormat="false" ht="15" hidden="false" customHeight="false" outlineLevel="0" collapsed="false">
      <c r="A7" s="13" t="s">
        <v>30</v>
      </c>
      <c r="B7" s="13" t="n">
        <f aca="false">COUNTIF(Calendar!$E$5:$E$104,A7)</f>
        <v>9</v>
      </c>
    </row>
    <row r="8" customFormat="false" ht="15" hidden="false" customHeight="false" outlineLevel="0" collapsed="false">
      <c r="A8" s="13" t="s">
        <v>35</v>
      </c>
      <c r="B8" s="13" t="n">
        <f aca="false">COUNTIF(Calendar!$E$5:$E$104,A8)</f>
        <v>10</v>
      </c>
    </row>
    <row r="9" customFormat="false" ht="15" hidden="false" customHeight="false" outlineLevel="0" collapsed="false">
      <c r="A9" s="13" t="s">
        <v>40</v>
      </c>
      <c r="B9" s="13" t="n">
        <f aca="false">COUNTIF(Calendar!$E$5:$E$104,A9)</f>
        <v>9</v>
      </c>
    </row>
    <row r="10" customFormat="false" ht="15" hidden="false" customHeight="false" outlineLevel="0" collapsed="false">
      <c r="A10" s="13" t="s">
        <v>45</v>
      </c>
      <c r="B10" s="13" t="n">
        <f aca="false">COUNTIF(Calendar!$E$5:$E$104,A10)</f>
        <v>9</v>
      </c>
    </row>
    <row r="11" customFormat="false" ht="15" hidden="false" customHeight="false" outlineLevel="0" collapsed="false">
      <c r="A11" s="13" t="s">
        <v>50</v>
      </c>
      <c r="B11" s="13" t="n">
        <f aca="false">COUNTIF(Calendar!$E$5:$E$104,A11)</f>
        <v>9</v>
      </c>
    </row>
    <row r="12" customFormat="false" ht="15" hidden="false" customHeight="false" outlineLevel="0" collapsed="false">
      <c r="A12" s="13" t="s">
        <v>55</v>
      </c>
      <c r="B12" s="13" t="n">
        <f aca="false">COUNTIF(Calendar!$E$5:$E$104,A12)</f>
        <v>9</v>
      </c>
    </row>
    <row r="13" customFormat="false" ht="15" hidden="false" customHeight="false" outlineLevel="0" collapsed="false">
      <c r="A13" s="13" t="s">
        <v>60</v>
      </c>
      <c r="B13" s="13" t="n">
        <f aca="false">COUNTIF(Calendar!$E$5:$E$104,A13)</f>
        <v>8</v>
      </c>
    </row>
    <row r="14" customFormat="false" ht="15" hidden="false" customHeight="false" outlineLevel="0" collapsed="false">
      <c r="A14" s="13" t="s">
        <v>65</v>
      </c>
      <c r="B14" s="13" t="n">
        <f aca="false">COUNTIF(Calendar!$E$5:$E$104,A14)</f>
        <v>8</v>
      </c>
    </row>
    <row r="15" customFormat="false" ht="15" hidden="false" customHeight="false" outlineLevel="0" collapsed="false">
      <c r="A15" s="2" t="s">
        <v>337</v>
      </c>
      <c r="B15" s="2" t="n">
        <f aca="false">SUM(B4:B14)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2026-10-08T12:14:19Z</dcterms:created>
  <dc:creator>openpyxl</dc:creator>
  <dc:description/>
  <dc:language>en-US</dc:language>
  <cp:lastModifiedBy/>
  <dcterms:modified xsi:type="dcterms:W3CDTF">2026-10-08T12:14:20Z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